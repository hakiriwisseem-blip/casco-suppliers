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2A340165-274A-4299-8691-7D49CB190B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H4" i="1"/>
  <c r="H5" i="1"/>
  <c r="H6" i="1"/>
  <c r="H7" i="1"/>
  <c r="H3" i="1"/>
</calcChain>
</file>

<file path=xl/sharedStrings.xml><?xml version="1.0" encoding="utf-8"?>
<sst xmlns="http://schemas.openxmlformats.org/spreadsheetml/2006/main" count="25" uniqueCount="21">
  <si>
    <t>CAT PN</t>
  </si>
  <si>
    <t>PN without Eng. Indices</t>
  </si>
  <si>
    <t>Description</t>
  </si>
  <si>
    <t>CAT Direct Supplier</t>
  </si>
  <si>
    <t>CY2026 Total demand (UM)</t>
  </si>
  <si>
    <t xml:space="preserve">Related Unit Price ¥ </t>
  </si>
  <si>
    <t>Related Unit Price $</t>
  </si>
  <si>
    <t xml:space="preserve">Yearly Spend ¥ </t>
  </si>
  <si>
    <t>Yearly Spend $</t>
  </si>
  <si>
    <t>2010400720-00</t>
  </si>
  <si>
    <t xml:space="preserve">Laufscheibe </t>
  </si>
  <si>
    <t>YIDONG ELECTRONIC(CHANGSHU)</t>
  </si>
  <si>
    <t>2038400113-00</t>
  </si>
  <si>
    <t>CLIP</t>
  </si>
  <si>
    <t>2010400730-00</t>
  </si>
  <si>
    <t>GROUND TERMINAL [9172794]</t>
  </si>
  <si>
    <t>3010400086-00</t>
  </si>
  <si>
    <t>POSITIVE TERMINAL [3010400086]</t>
  </si>
  <si>
    <t>2034400018-00</t>
  </si>
  <si>
    <t xml:space="preserve">SPRING DEFOG SENSOR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</si>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</sst>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0" fontId="2" fillId="3" borderId="5" xfId="0" applyFont="1" applyFill="1" applyBorder="1"/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D16" sqref="D16"/>
    </sheetView>
  </sheetViews>
  <sheetFormatPr defaultRowHeight="14.4" x14ac:dyDescent="0.3"/>
  <cols>
    <col min="1" max="1" width="15.44140625" customWidth="1"/>
    <col min="2" max="2" width="14.6640625" customWidth="1"/>
    <col min="3" max="3" width="31.5546875" customWidth="1"/>
    <col min="4" max="4" width="30.33203125" customWidth="1"/>
    <col min="5" max="6" width="10.33203125" customWidth="1"/>
    <col min="7" max="7" width="11.1093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6" t="s">
        <v>9</v>
      </c>
      <c r="B3" s="6">
        <v>2010400720</v>
      </c>
      <c r="C3" s="7" t="s">
        <v>10</v>
      </c>
      <c r="D3" s="7" t="s">
        <v>11</v>
      </c>
      <c r="E3" s="8">
        <v>372433.85000000044</v>
      </c>
      <c r="F3" s="9">
        <v>0.2</v>
      </c>
      <c r="G3" s="10">
        <v>2.8060000000000002E-2</v>
      </c>
      <c r="H3" s="8">
        <f>(F3*E3)</f>
        <v>74486.770000000091</v>
      </c>
      <c r="I3" s="11">
        <v>10450.493831000013</v>
      </c>
    </row>
    <row r="4" spans="1:9" x14ac:dyDescent="0.3">
      <c r="A4" s="6" t="s">
        <v>12</v>
      </c>
      <c r="B4" s="6">
        <v>2038400113</v>
      </c>
      <c r="C4" s="7" t="s">
        <v>13</v>
      </c>
      <c r="D4" s="7" t="s">
        <v>11</v>
      </c>
      <c r="E4" s="8">
        <v>278100.00000000029</v>
      </c>
      <c r="F4" s="9">
        <v>0.11</v>
      </c>
      <c r="G4" s="12">
        <v>1.5433000000000001E-2</v>
      </c>
      <c r="H4" s="8">
        <f t="shared" ref="H4:H7" si="0">(F4*E4)</f>
        <v>30591.000000000033</v>
      </c>
      <c r="I4" s="11">
        <v>4291.9173000000046</v>
      </c>
    </row>
    <row r="5" spans="1:9" x14ac:dyDescent="0.3">
      <c r="A5" s="6" t="s">
        <v>14</v>
      </c>
      <c r="B5" s="6">
        <v>2010400730</v>
      </c>
      <c r="C5" s="7" t="s">
        <v>15</v>
      </c>
      <c r="D5" s="7" t="s">
        <v>11</v>
      </c>
      <c r="E5" s="8">
        <v>55000</v>
      </c>
      <c r="F5" s="9">
        <v>0.22</v>
      </c>
      <c r="G5" s="12">
        <v>3.0866000000000001E-2</v>
      </c>
      <c r="H5" s="8">
        <f t="shared" si="0"/>
        <v>12100</v>
      </c>
      <c r="I5" s="11">
        <v>1697.63</v>
      </c>
    </row>
    <row r="6" spans="1:9" x14ac:dyDescent="0.3">
      <c r="A6" s="6" t="s">
        <v>16</v>
      </c>
      <c r="B6" s="6">
        <v>3010400086</v>
      </c>
      <c r="C6" s="7" t="s">
        <v>17</v>
      </c>
      <c r="D6" s="7" t="s">
        <v>11</v>
      </c>
      <c r="E6" s="8">
        <v>55000</v>
      </c>
      <c r="F6" s="9">
        <v>0.11700000000000001</v>
      </c>
      <c r="G6" s="10">
        <v>1.6415100000000002E-2</v>
      </c>
      <c r="H6" s="8">
        <f t="shared" si="0"/>
        <v>6435</v>
      </c>
      <c r="I6" s="11">
        <v>902.83050000000014</v>
      </c>
    </row>
    <row r="7" spans="1:9" x14ac:dyDescent="0.3">
      <c r="A7" s="7" t="s">
        <v>18</v>
      </c>
      <c r="B7" s="7">
        <v>2034400018</v>
      </c>
      <c r="C7" s="7" t="s">
        <v>19</v>
      </c>
      <c r="D7" s="7" t="s">
        <v>11</v>
      </c>
      <c r="E7" s="8">
        <v>50.000000000000064</v>
      </c>
      <c r="F7" s="9">
        <v>0.17549999999999999</v>
      </c>
      <c r="G7" s="12">
        <v>2.4622649999999999E-2</v>
      </c>
      <c r="H7" s="8">
        <f t="shared" si="0"/>
        <v>8.775000000000011</v>
      </c>
      <c r="I7" s="11">
        <v>1.2311325000000015</v>
      </c>
    </row>
    <row r="8" spans="1:9" x14ac:dyDescent="0.3">
      <c r="H8" s="13" t="s">
        <v>20</v>
      </c>
      <c r="I8" s="14">
        <f>SUM(I3:I7)</f>
        <v>17344.102763500017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7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2026-06-03T10:44:21Z</dcterms:modified>
</cp:coreProperties>
</file>