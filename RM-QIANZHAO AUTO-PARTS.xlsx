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995D2E23-8BEC-433D-A9E5-5E5EAA749A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7" i="1"/>
  <c r="H4" i="1"/>
  <c r="H5" i="1"/>
  <c r="H6" i="1"/>
  <c r="H3" i="1"/>
</calcChain>
</file>

<file path=xl/sharedStrings.xml><?xml version="1.0" encoding="utf-8"?>
<sst xmlns="http://schemas.openxmlformats.org/spreadsheetml/2006/main" count="22" uniqueCount="19">
  <si>
    <t>CAT PN</t>
  </si>
  <si>
    <t>PN without Eng. Indices</t>
  </si>
  <si>
    <t>Description</t>
  </si>
  <si>
    <t>CAT Direct Supplier</t>
  </si>
  <si>
    <t>CY2026 Total demand (UM)</t>
  </si>
  <si>
    <t xml:space="preserve">Related Unit Price ¥ </t>
  </si>
  <si>
    <t>Related Unit Price $</t>
  </si>
  <si>
    <t xml:space="preserve">Yearly Spend ¥ </t>
  </si>
  <si>
    <t>Yearly Spend $</t>
  </si>
  <si>
    <t>2030400252-04</t>
  </si>
  <si>
    <t xml:space="preserve">BRASS HOUSING </t>
  </si>
  <si>
    <t>QIANZHAO AUTO-PARTS (CHANGSH</t>
  </si>
  <si>
    <t>1055400720-01</t>
  </si>
  <si>
    <t xml:space="preserve"> HINGE KNURled pin </t>
  </si>
  <si>
    <t>3052400939-01</t>
  </si>
  <si>
    <t xml:space="preserve">Hinge pin </t>
  </si>
  <si>
    <t>1055400174-00</t>
  </si>
  <si>
    <t>HVPOBP COVER KNURLED PIN Stellantis 68581522AB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</si>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</sst>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4" sqref="H14"/>
    </sheetView>
  </sheetViews>
  <sheetFormatPr defaultRowHeight="14.4" x14ac:dyDescent="0.3"/>
  <cols>
    <col min="1" max="1" width="15.44140625" customWidth="1"/>
    <col min="2" max="2" width="18.109375" customWidth="1"/>
    <col min="3" max="3" width="17" customWidth="1"/>
    <col min="4" max="4" width="32.5546875" customWidth="1"/>
    <col min="5" max="5" width="12.21875" customWidth="1"/>
    <col min="6" max="6" width="12.109375" customWidth="1"/>
    <col min="7" max="7" width="12.21875" customWidth="1"/>
    <col min="8" max="8" width="10.21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2030400252</v>
      </c>
      <c r="C3" s="7" t="s">
        <v>10</v>
      </c>
      <c r="D3" s="7" t="s">
        <v>11</v>
      </c>
      <c r="E3" s="8">
        <v>78999.978499999997</v>
      </c>
      <c r="F3" s="9">
        <v>23.34</v>
      </c>
      <c r="G3" s="10">
        <v>3.2746020000000002</v>
      </c>
      <c r="H3" s="8">
        <f>(F3*E3)</f>
        <v>1843859.49819</v>
      </c>
      <c r="I3" s="11">
        <v>258693.48759605701</v>
      </c>
    </row>
    <row r="4" spans="1:9" x14ac:dyDescent="0.3">
      <c r="A4" s="6" t="s">
        <v>12</v>
      </c>
      <c r="B4" s="6">
        <v>1055400720</v>
      </c>
      <c r="C4" s="7" t="s">
        <v>13</v>
      </c>
      <c r="D4" s="7" t="s">
        <v>11</v>
      </c>
      <c r="E4" s="8">
        <v>132371.13744263232</v>
      </c>
      <c r="F4" s="9">
        <v>0.45</v>
      </c>
      <c r="G4" s="12">
        <v>6.3135000000000011E-2</v>
      </c>
      <c r="H4" s="8">
        <f t="shared" ref="H4:H6" si="0">(F4*E4)</f>
        <v>59567.011849184542</v>
      </c>
      <c r="I4" s="11">
        <v>8357.2517624405918</v>
      </c>
    </row>
    <row r="5" spans="1:9" x14ac:dyDescent="0.3">
      <c r="A5" s="6" t="s">
        <v>14</v>
      </c>
      <c r="B5" s="6">
        <v>3052400939</v>
      </c>
      <c r="C5" s="7" t="s">
        <v>15</v>
      </c>
      <c r="D5" s="7" t="s">
        <v>11</v>
      </c>
      <c r="E5" s="8">
        <v>28806.749999999996</v>
      </c>
      <c r="F5" s="9">
        <v>0.38900000000000001</v>
      </c>
      <c r="G5" s="12">
        <v>5.4576700000000006E-2</v>
      </c>
      <c r="H5" s="8">
        <f t="shared" si="0"/>
        <v>11205.825749999998</v>
      </c>
      <c r="I5" s="11">
        <v>1572.177352725</v>
      </c>
    </row>
    <row r="6" spans="1:9" x14ac:dyDescent="0.3">
      <c r="A6" s="6" t="s">
        <v>16</v>
      </c>
      <c r="B6" s="6">
        <v>1055400174</v>
      </c>
      <c r="C6" s="7" t="s">
        <v>17</v>
      </c>
      <c r="D6" s="7" t="s">
        <v>11</v>
      </c>
      <c r="E6" s="8">
        <v>24022.400000000005</v>
      </c>
      <c r="F6" s="9">
        <v>0.38</v>
      </c>
      <c r="G6" s="12">
        <v>5.3314E-2</v>
      </c>
      <c r="H6" s="8">
        <f t="shared" si="0"/>
        <v>9128.5120000000024</v>
      </c>
      <c r="I6" s="11">
        <v>1280.7302336000002</v>
      </c>
    </row>
    <row r="7" spans="1:9" x14ac:dyDescent="0.3">
      <c r="G7" s="13" t="s">
        <v>18</v>
      </c>
      <c r="H7" s="14">
        <f>SUM(H3:H6)</f>
        <v>1923760.8477891847</v>
      </c>
      <c r="I7" s="14">
        <f>SUM(I3:I6)</f>
        <v>269903.64694482263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2026-06-03T13:15:13Z</dcterms:modified>
</cp:coreProperties>
</file>