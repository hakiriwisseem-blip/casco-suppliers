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1AB59C80-EBBD-41C5-AF94-9AA765C2A4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H12" i="1"/>
  <c r="H4" i="1"/>
  <c r="H5" i="1"/>
  <c r="H6" i="1"/>
  <c r="H7" i="1"/>
  <c r="H8" i="1"/>
  <c r="H9" i="1"/>
  <c r="H10" i="1"/>
  <c r="H11" i="1"/>
  <c r="H3" i="1"/>
</calcChain>
</file>

<file path=xl/sharedStrings.xml><?xml version="1.0" encoding="utf-8"?>
<sst xmlns="http://schemas.openxmlformats.org/spreadsheetml/2006/main" count="37" uniqueCount="28">
  <si>
    <t>CAT PN</t>
  </si>
  <si>
    <t>PN without Eng. Indices</t>
  </si>
  <si>
    <t>Description</t>
  </si>
  <si>
    <t>CAT Direct Supplier</t>
  </si>
  <si>
    <t>CY2026 Total demand (UM)</t>
  </si>
  <si>
    <t>Related Unit Price ¥</t>
  </si>
  <si>
    <t>Related Unit Price $</t>
  </si>
  <si>
    <t>Yearly Spend ¥</t>
  </si>
  <si>
    <t>Yearly Spend $</t>
  </si>
  <si>
    <t>2030300221-02</t>
  </si>
  <si>
    <t xml:space="preserve">PROBE ASSEMBLY </t>
  </si>
  <si>
    <t>TSP ELECTRONICS TECHNOLOGY</t>
  </si>
  <si>
    <t>2030300218-03</t>
  </si>
  <si>
    <t xml:space="preserve">CONNECTOR </t>
  </si>
  <si>
    <t>2038400132-00</t>
  </si>
  <si>
    <t xml:space="preserve">Gehause Oberteil </t>
  </si>
  <si>
    <t>1020401038-00</t>
  </si>
  <si>
    <t xml:space="preserve">4 PIN HEADER </t>
  </si>
  <si>
    <t>3010400025-00</t>
  </si>
  <si>
    <t>EXTERNAL INSULATOR [3010400025]</t>
  </si>
  <si>
    <t>5038400058-02</t>
  </si>
  <si>
    <t xml:space="preserve">MASK SHELL </t>
  </si>
  <si>
    <t>2036400049-00</t>
  </si>
  <si>
    <t xml:space="preserve">TARGET HOLDER </t>
  </si>
  <si>
    <t>2020400128-00</t>
  </si>
  <si>
    <t>Knopf Unterteil</t>
  </si>
  <si>
    <t>2036400015-01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</si>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</sst>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F16" sqref="F16"/>
    </sheetView>
  </sheetViews>
  <sheetFormatPr defaultRowHeight="14.4" x14ac:dyDescent="0.3"/>
  <cols>
    <col min="1" max="1" width="14.5546875" customWidth="1"/>
    <col min="2" max="2" width="15" customWidth="1"/>
    <col min="3" max="3" width="31.77734375" customWidth="1"/>
    <col min="4" max="4" width="28.6640625" customWidth="1"/>
    <col min="5" max="5" width="13" customWidth="1"/>
    <col min="6" max="6" width="13.109375" customWidth="1"/>
    <col min="7" max="7" width="12.332031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9</v>
      </c>
      <c r="B3" s="6">
        <v>2030300221</v>
      </c>
      <c r="C3" s="7" t="s">
        <v>10</v>
      </c>
      <c r="D3" s="7" t="s">
        <v>11</v>
      </c>
      <c r="E3" s="8">
        <v>78999.978499999997</v>
      </c>
      <c r="F3" s="9">
        <v>4.1900000000000004</v>
      </c>
      <c r="G3" s="12">
        <v>0.58785700000000007</v>
      </c>
      <c r="H3" s="11">
        <f>(F3*E3)</f>
        <v>331009.90991500003</v>
      </c>
      <c r="I3" s="11">
        <v>46440.690361074507</v>
      </c>
    </row>
    <row r="4" spans="1:9" x14ac:dyDescent="0.3">
      <c r="A4" s="6" t="s">
        <v>12</v>
      </c>
      <c r="B4" s="6">
        <v>2030300218</v>
      </c>
      <c r="C4" s="7" t="s">
        <v>13</v>
      </c>
      <c r="D4" s="7" t="s">
        <v>11</v>
      </c>
      <c r="E4" s="8">
        <v>78999.978499999997</v>
      </c>
      <c r="F4" s="9">
        <v>2.2399999999999998</v>
      </c>
      <c r="G4" s="10">
        <v>0.314272</v>
      </c>
      <c r="H4" s="11">
        <f t="shared" ref="H4:H11" si="0">(F4*E4)</f>
        <v>176959.95183999997</v>
      </c>
      <c r="I4" s="11">
        <v>24827.481243152</v>
      </c>
    </row>
    <row r="5" spans="1:9" x14ac:dyDescent="0.3">
      <c r="A5" s="6" t="s">
        <v>14</v>
      </c>
      <c r="B5" s="6">
        <v>2038400132</v>
      </c>
      <c r="C5" s="7" t="s">
        <v>15</v>
      </c>
      <c r="D5" s="7" t="s">
        <v>11</v>
      </c>
      <c r="E5" s="8">
        <v>45696.000000000058</v>
      </c>
      <c r="F5" s="9">
        <v>0.65</v>
      </c>
      <c r="G5" s="12">
        <v>9.1195000000000012E-2</v>
      </c>
      <c r="H5" s="11">
        <f t="shared" si="0"/>
        <v>29702.400000000038</v>
      </c>
      <c r="I5" s="11">
        <v>4167.2467200000056</v>
      </c>
    </row>
    <row r="6" spans="1:9" x14ac:dyDescent="0.3">
      <c r="A6" s="7" t="s">
        <v>16</v>
      </c>
      <c r="B6" s="7">
        <v>1020401038</v>
      </c>
      <c r="C6" s="7" t="s">
        <v>17</v>
      </c>
      <c r="D6" s="7" t="s">
        <v>11</v>
      </c>
      <c r="E6" s="8">
        <v>9700</v>
      </c>
      <c r="F6" s="9">
        <v>0.64400000000000002</v>
      </c>
      <c r="G6" s="10">
        <v>9.0353200000000009E-2</v>
      </c>
      <c r="H6" s="11">
        <f t="shared" si="0"/>
        <v>6246.8</v>
      </c>
      <c r="I6" s="11">
        <v>876.42604000000006</v>
      </c>
    </row>
    <row r="7" spans="1:9" x14ac:dyDescent="0.3">
      <c r="A7" s="6" t="s">
        <v>18</v>
      </c>
      <c r="B7" s="6">
        <v>3010400025</v>
      </c>
      <c r="C7" s="7" t="s">
        <v>19</v>
      </c>
      <c r="D7" s="7" t="s">
        <v>11</v>
      </c>
      <c r="E7" s="8">
        <v>55000</v>
      </c>
      <c r="F7" s="9">
        <v>6.4899999999999999E-2</v>
      </c>
      <c r="G7" s="10">
        <v>9.1054700000000009E-3</v>
      </c>
      <c r="H7" s="11">
        <f t="shared" si="0"/>
        <v>3569.5</v>
      </c>
      <c r="I7" s="11">
        <v>500.80085000000003</v>
      </c>
    </row>
    <row r="8" spans="1:9" x14ac:dyDescent="0.3">
      <c r="A8" s="6" t="s">
        <v>20</v>
      </c>
      <c r="B8" s="6">
        <v>5038400058</v>
      </c>
      <c r="C8" s="7" t="s">
        <v>21</v>
      </c>
      <c r="D8" s="7" t="s">
        <v>11</v>
      </c>
      <c r="E8" s="8">
        <v>13649.000000000018</v>
      </c>
      <c r="F8" s="9">
        <v>0.245</v>
      </c>
      <c r="G8" s="10">
        <v>3.4373500000000001E-2</v>
      </c>
      <c r="H8" s="11">
        <f t="shared" si="0"/>
        <v>3344.0050000000042</v>
      </c>
      <c r="I8" s="11">
        <v>469.16390150000063</v>
      </c>
    </row>
    <row r="9" spans="1:9" x14ac:dyDescent="0.3">
      <c r="A9" s="7" t="s">
        <v>22</v>
      </c>
      <c r="B9" s="7">
        <v>2036400049</v>
      </c>
      <c r="C9" s="7" t="s">
        <v>23</v>
      </c>
      <c r="D9" s="7" t="s">
        <v>11</v>
      </c>
      <c r="E9" s="8">
        <v>500.00000000000068</v>
      </c>
      <c r="F9" s="9">
        <v>0.7</v>
      </c>
      <c r="G9" s="10">
        <v>9.8209999999999992E-2</v>
      </c>
      <c r="H9" s="11">
        <f t="shared" si="0"/>
        <v>350.00000000000045</v>
      </c>
      <c r="I9" s="11">
        <v>49.105000000000061</v>
      </c>
    </row>
    <row r="10" spans="1:9" x14ac:dyDescent="0.3">
      <c r="A10" s="7" t="s">
        <v>24</v>
      </c>
      <c r="B10" s="7">
        <v>2020400128</v>
      </c>
      <c r="C10" s="7" t="s">
        <v>25</v>
      </c>
      <c r="D10" s="7" t="s">
        <v>11</v>
      </c>
      <c r="E10" s="8">
        <v>100.00000000000013</v>
      </c>
      <c r="F10" s="9">
        <v>1.23</v>
      </c>
      <c r="G10" s="10">
        <v>0.172569</v>
      </c>
      <c r="H10" s="11">
        <f t="shared" si="0"/>
        <v>123.00000000000016</v>
      </c>
      <c r="I10" s="11">
        <v>17.256900000000023</v>
      </c>
    </row>
    <row r="11" spans="1:9" x14ac:dyDescent="0.3">
      <c r="A11" s="7" t="s">
        <v>26</v>
      </c>
      <c r="B11" s="7">
        <v>2036400015</v>
      </c>
      <c r="C11" s="7" t="s">
        <v>23</v>
      </c>
      <c r="D11" s="7" t="s">
        <v>11</v>
      </c>
      <c r="E11" s="8">
        <v>100.00000000000013</v>
      </c>
      <c r="F11" s="9">
        <v>0.92</v>
      </c>
      <c r="G11" s="10">
        <v>0.12907600000000002</v>
      </c>
      <c r="H11" s="11">
        <f t="shared" si="0"/>
        <v>92.000000000000128</v>
      </c>
      <c r="I11" s="11">
        <v>12.907600000000018</v>
      </c>
    </row>
    <row r="12" spans="1:9" x14ac:dyDescent="0.3">
      <c r="G12" s="13" t="s">
        <v>27</v>
      </c>
      <c r="H12" s="14">
        <f>SUM(H3:H11)</f>
        <v>551397.56675500004</v>
      </c>
      <c r="I12" s="14">
        <f>SUM(I3:I11)</f>
        <v>77361.07861572651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3:B1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2026-06-02T11:10:57Z</dcterms:modified>
</cp:coreProperties>
</file>