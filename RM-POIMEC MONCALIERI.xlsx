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6E169D74-67C8-4ABA-92B5-6725162AE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H4" i="1"/>
  <c r="H5" i="1"/>
  <c r="H6" i="1"/>
  <c r="H7" i="1"/>
  <c r="H3" i="1"/>
</calcChain>
</file>

<file path=xl/sharedStrings.xml><?xml version="1.0" encoding="utf-8"?>
<sst xmlns="http://schemas.openxmlformats.org/spreadsheetml/2006/main" count="25" uniqueCount="21">
  <si>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</si>
  <si>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</si>
  <si>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</si>
  <si>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</si>
  <si>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</si>
  <si>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</si>
  <si>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</si>
  <si>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POIMEC MONCALIERI (TO)</t>
  </si>
  <si>
    <t>6038400044-00</t>
  </si>
  <si>
    <t xml:space="preserve">TERMINALES SUSSENSORS </t>
  </si>
  <si>
    <t>3020400753-00</t>
  </si>
  <si>
    <t>TERMINAL NEGATIF VOLVO P 26</t>
  </si>
  <si>
    <t>3020400615-00</t>
  </si>
  <si>
    <t>Terminal positiF VOLVO P 26</t>
  </si>
  <si>
    <t>6010401280-00</t>
  </si>
  <si>
    <t xml:space="preserve">GROUND TERMINAL </t>
  </si>
  <si>
    <t>6010401293-00</t>
  </si>
  <si>
    <t xml:space="preserve">TERMINAL POSITIF </t>
  </si>
  <si>
    <t>Related Unit Price €</t>
  </si>
  <si>
    <t>Yearly Spend €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</si>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</sst>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0" fontId="0" fillId="0" borderId="5" xfId="0" applyBorder="1" applyAlignment="1">
      <alignment vertical="center" wrapText="1"/>
    </xf>
    <xf numFmtId="165" fontId="0" fillId="0" borderId="5" xfId="1" applyNumberFormat="1" applyFont="1" applyBorder="1" applyAlignment="1">
      <alignment horizontal="center"/>
    </xf>
    <xf numFmtId="164" fontId="2" fillId="3" borderId="5" xfId="0" applyNumberFormat="1" applyFont="1" applyFill="1" applyBorder="1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13" sqref="I13"/>
    </sheetView>
  </sheetViews>
  <sheetFormatPr defaultRowHeight="14.4" x14ac:dyDescent="0.3"/>
  <cols>
    <col min="1" max="1" width="14.109375" customWidth="1"/>
    <col min="2" max="2" width="15.88671875" customWidth="1"/>
    <col min="3" max="3" width="32" customWidth="1"/>
    <col min="4" max="4" width="22.77734375" customWidth="1"/>
    <col min="6" max="6" width="11.77734375" customWidth="1"/>
    <col min="7" max="7" width="11.109375" customWidth="1"/>
  </cols>
  <sheetData>
    <row r="1" spans="1:9" x14ac:dyDescent="0.3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18</v>
      </c>
      <c r="G1" s="10" t="s">
        <v>5</v>
      </c>
      <c r="H1" s="10" t="s">
        <v>19</v>
      </c>
      <c r="I1" s="10" t="s">
        <v>6</v>
      </c>
    </row>
    <row r="2" spans="1:9" ht="15" thickBot="1" x14ac:dyDescent="0.35">
      <c r="A2" s="13"/>
      <c r="B2" s="14"/>
      <c r="C2" s="14"/>
      <c r="D2" s="14"/>
      <c r="E2" s="11"/>
      <c r="F2" s="11"/>
      <c r="G2" s="11"/>
      <c r="H2" s="11"/>
      <c r="I2" s="11"/>
    </row>
    <row r="3" spans="1:9" ht="28.8" x14ac:dyDescent="0.3">
      <c r="A3" s="2" t="s">
        <v>8</v>
      </c>
      <c r="B3" s="2">
        <v>6038400044</v>
      </c>
      <c r="C3" s="2" t="s">
        <v>9</v>
      </c>
      <c r="D3" s="7" t="s">
        <v>7</v>
      </c>
      <c r="E3" s="3">
        <v>216630.75000000003</v>
      </c>
      <c r="F3" s="4">
        <v>1.06E-2</v>
      </c>
      <c r="G3" s="5">
        <v>1.236172E-2</v>
      </c>
      <c r="H3" s="3">
        <f>(F3*E3)</f>
        <v>2296.2859500000004</v>
      </c>
      <c r="I3" s="6">
        <v>2677.9286748900004</v>
      </c>
    </row>
    <row r="4" spans="1:9" x14ac:dyDescent="0.3">
      <c r="A4" s="1" t="s">
        <v>10</v>
      </c>
      <c r="B4" s="1">
        <v>3020400753</v>
      </c>
      <c r="C4" s="2" t="s">
        <v>11</v>
      </c>
      <c r="D4" s="2" t="s">
        <v>7</v>
      </c>
      <c r="E4" s="3">
        <v>38448</v>
      </c>
      <c r="F4" s="4">
        <v>3.5000000000000003E-2</v>
      </c>
      <c r="G4" s="8">
        <v>4.0816999999999999E-2</v>
      </c>
      <c r="H4" s="3">
        <f t="shared" ref="H4:H7" si="0">(F4*E4)</f>
        <v>1345.68</v>
      </c>
      <c r="I4" s="6">
        <v>1569.3320160000001</v>
      </c>
    </row>
    <row r="5" spans="1:9" x14ac:dyDescent="0.3">
      <c r="A5" s="1" t="s">
        <v>12</v>
      </c>
      <c r="B5" s="1">
        <v>3020400615</v>
      </c>
      <c r="C5" s="2" t="s">
        <v>13</v>
      </c>
      <c r="D5" s="2" t="s">
        <v>7</v>
      </c>
      <c r="E5" s="3">
        <v>38448</v>
      </c>
      <c r="F5" s="4">
        <v>1.5299999999999999E-2</v>
      </c>
      <c r="G5" s="5">
        <v>1.7842859999999999E-2</v>
      </c>
      <c r="H5" s="3">
        <f t="shared" si="0"/>
        <v>588.25440000000003</v>
      </c>
      <c r="I5" s="6">
        <v>686.0222812799999</v>
      </c>
    </row>
    <row r="6" spans="1:9" ht="27.6" customHeight="1" x14ac:dyDescent="0.3">
      <c r="A6" s="2" t="s">
        <v>14</v>
      </c>
      <c r="B6" s="2">
        <v>6010401280</v>
      </c>
      <c r="C6" s="2" t="s">
        <v>15</v>
      </c>
      <c r="D6" s="2" t="s">
        <v>7</v>
      </c>
      <c r="E6" s="3">
        <v>2011</v>
      </c>
      <c r="F6" s="4">
        <v>8.3339999999999997E-2</v>
      </c>
      <c r="G6" s="5">
        <v>9.7191107999999984E-2</v>
      </c>
      <c r="H6" s="3">
        <f t="shared" si="0"/>
        <v>167.59673999999998</v>
      </c>
      <c r="I6" s="6">
        <v>195.45131818799996</v>
      </c>
    </row>
    <row r="7" spans="1:9" x14ac:dyDescent="0.3">
      <c r="A7" s="2" t="s">
        <v>16</v>
      </c>
      <c r="B7" s="2">
        <v>6010401293</v>
      </c>
      <c r="C7" s="2" t="s">
        <v>17</v>
      </c>
      <c r="D7" s="2" t="s">
        <v>7</v>
      </c>
      <c r="E7" s="3">
        <v>2071.33</v>
      </c>
      <c r="F7" s="4">
        <v>1.5879999999999998E-2</v>
      </c>
      <c r="G7" s="5">
        <v>1.8519255999999998E-2</v>
      </c>
      <c r="H7" s="3">
        <f t="shared" si="0"/>
        <v>32.892720399999995</v>
      </c>
      <c r="I7" s="6">
        <v>38.359490530479995</v>
      </c>
    </row>
    <row r="8" spans="1:9" x14ac:dyDescent="0.3">
      <c r="G8" s="15" t="s">
        <v>20</v>
      </c>
      <c r="H8" s="9">
        <f>SUM(H3:H7)</f>
        <v>4430.7098104000006</v>
      </c>
      <c r="I8" s="9">
        <f>SUM(I3:I7)</f>
        <v>5167.093780888481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9"/>
    <cfRule type="duplicateValues" dxfId="2" priority="10"/>
  </conditionalFormatting>
  <conditionalFormatting sqref="B3:B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2026-06-03T11:11:30Z</dcterms:modified>
</cp:coreProperties>
</file>