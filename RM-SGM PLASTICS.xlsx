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5B1F9235-E159-46A2-B8BD-AC6E55EED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4" i="1"/>
  <c r="H5" i="1"/>
  <c r="H6" i="1"/>
  <c r="H7" i="1"/>
  <c r="H8" i="1"/>
  <c r="H9" i="1"/>
  <c r="H10" i="1"/>
  <c r="H11" i="1"/>
  <c r="H12" i="1"/>
  <c r="H13" i="1"/>
  <c r="H3" i="1"/>
  <c r="H14" i="1" l="1"/>
</calcChain>
</file>

<file path=xl/sharedStrings.xml><?xml version="1.0" encoding="utf-8"?>
<sst xmlns="http://schemas.openxmlformats.org/spreadsheetml/2006/main" count="43" uniqueCount="33">
  <si>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</si>
  <si>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</si>
  <si>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</si>
  <si>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</si>
  <si>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</si>
  <si>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</si>
  <si>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</si>
  <si>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</si>
  <si>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</si>
  <si>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3020401223-00</t>
  </si>
  <si>
    <t xml:space="preserve">MOUNTING RING </t>
  </si>
  <si>
    <t>SGM PLASTICS EOOD</t>
  </si>
  <si>
    <t>3020401222-00</t>
  </si>
  <si>
    <t xml:space="preserve">Cover APO </t>
  </si>
  <si>
    <t>7038400357-00</t>
  </si>
  <si>
    <t>HOUSING</t>
  </si>
  <si>
    <t>2010400859-00</t>
  </si>
  <si>
    <t>GEHAUSE</t>
  </si>
  <si>
    <t>2010300505-00</t>
  </si>
  <si>
    <t xml:space="preserve">CONNECTOR </t>
  </si>
  <si>
    <t>3030400261-00</t>
  </si>
  <si>
    <t>Housing-2pin DG9T 221</t>
  </si>
  <si>
    <t>3010400627-00</t>
  </si>
  <si>
    <t>INSULATOR FOR US CAR [216555]</t>
  </si>
  <si>
    <t>7038400365-00</t>
  </si>
  <si>
    <t xml:space="preserve">Internal housing </t>
  </si>
  <si>
    <t>2020200787-00A</t>
  </si>
  <si>
    <t>Blind Plug BMW 5A8A829-01</t>
  </si>
  <si>
    <t>3073400592-00</t>
  </si>
  <si>
    <t xml:space="preserve">GPA Housing </t>
  </si>
  <si>
    <t>3073400595-00</t>
  </si>
  <si>
    <t>GPA Rear cover 3073300353-00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</si>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</sst>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18" sqref="I18"/>
    </sheetView>
  </sheetViews>
  <sheetFormatPr defaultRowHeight="14.4" x14ac:dyDescent="0.3"/>
  <cols>
    <col min="1" max="1" width="20.21875" customWidth="1"/>
    <col min="2" max="2" width="21.33203125" customWidth="1"/>
    <col min="3" max="3" width="29.33203125" customWidth="1"/>
    <col min="4" max="4" width="31.109375" customWidth="1"/>
    <col min="5" max="5" width="12.88671875" customWidth="1"/>
    <col min="6" max="6" width="11" customWidth="1"/>
    <col min="7" max="7" width="10.5546875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3020401223</v>
      </c>
      <c r="C3" s="7" t="s">
        <v>10</v>
      </c>
      <c r="D3" s="7" t="s">
        <v>11</v>
      </c>
      <c r="E3" s="8">
        <v>1140645</v>
      </c>
      <c r="F3" s="9">
        <v>8.9099999999999999E-2</v>
      </c>
      <c r="G3" s="10">
        <v>0.10390841999999999</v>
      </c>
      <c r="H3" s="11">
        <f>(F3*E3)</f>
        <v>101631.46949999999</v>
      </c>
      <c r="I3" s="11">
        <v>118522.61973089998</v>
      </c>
    </row>
    <row r="4" spans="1:9" x14ac:dyDescent="0.3">
      <c r="A4" s="6" t="s">
        <v>12</v>
      </c>
      <c r="B4" s="6">
        <v>3020401222</v>
      </c>
      <c r="C4" s="7" t="s">
        <v>13</v>
      </c>
      <c r="D4" s="7" t="s">
        <v>11</v>
      </c>
      <c r="E4" s="8">
        <v>1140645</v>
      </c>
      <c r="F4" s="9">
        <v>6.0179999999999997E-2</v>
      </c>
      <c r="G4" s="12">
        <v>6.9500000000000006E-2</v>
      </c>
      <c r="H4" s="11">
        <f t="shared" ref="H4:H13" si="0">(F4*E4)</f>
        <v>68644.016099999993</v>
      </c>
      <c r="I4" s="11">
        <v>79274.827500000014</v>
      </c>
    </row>
    <row r="5" spans="1:9" x14ac:dyDescent="0.3">
      <c r="A5" s="6" t="s">
        <v>14</v>
      </c>
      <c r="B5" s="6">
        <v>7038400357</v>
      </c>
      <c r="C5" s="7" t="s">
        <v>15</v>
      </c>
      <c r="D5" s="7" t="s">
        <v>11</v>
      </c>
      <c r="E5" s="8">
        <v>977016.21</v>
      </c>
      <c r="F5" s="9">
        <v>4.0099999999999997E-2</v>
      </c>
      <c r="G5" s="10">
        <v>4.6764619999999993E-2</v>
      </c>
      <c r="H5" s="11">
        <f t="shared" si="0"/>
        <v>39178.350020999998</v>
      </c>
      <c r="I5" s="11">
        <v>45689.791794490193</v>
      </c>
    </row>
    <row r="6" spans="1:9" x14ac:dyDescent="0.3">
      <c r="A6" s="6" t="s">
        <v>16</v>
      </c>
      <c r="B6" s="6">
        <v>2010400859</v>
      </c>
      <c r="C6" s="7" t="s">
        <v>17</v>
      </c>
      <c r="D6" s="7" t="s">
        <v>11</v>
      </c>
      <c r="E6" s="8">
        <v>2315775.0692029251</v>
      </c>
      <c r="F6" s="9">
        <v>1.273E-2</v>
      </c>
      <c r="G6" s="12">
        <v>1.4845725999999998E-2</v>
      </c>
      <c r="H6" s="11">
        <f t="shared" si="0"/>
        <v>29479.816630953235</v>
      </c>
      <c r="I6" s="11">
        <v>34379.362155017661</v>
      </c>
    </row>
    <row r="7" spans="1:9" x14ac:dyDescent="0.3">
      <c r="A7" s="6" t="s">
        <v>18</v>
      </c>
      <c r="B7" s="6">
        <v>2010300505</v>
      </c>
      <c r="C7" s="7" t="s">
        <v>19</v>
      </c>
      <c r="D7" s="7" t="s">
        <v>11</v>
      </c>
      <c r="E7" s="8">
        <v>312432.10000000044</v>
      </c>
      <c r="F7" s="9">
        <v>6.455000000000001E-2</v>
      </c>
      <c r="G7" s="12">
        <v>7.5278210000000012E-2</v>
      </c>
      <c r="H7" s="11">
        <f t="shared" si="0"/>
        <v>20167.492055000032</v>
      </c>
      <c r="I7" s="11">
        <v>23519.329234541037</v>
      </c>
    </row>
    <row r="8" spans="1:9" x14ac:dyDescent="0.3">
      <c r="A8" s="6" t="s">
        <v>20</v>
      </c>
      <c r="B8" s="6">
        <v>3030400261</v>
      </c>
      <c r="C8" s="7" t="s">
        <v>21</v>
      </c>
      <c r="D8" s="7" t="s">
        <v>11</v>
      </c>
      <c r="E8" s="8">
        <v>494013.05000000016</v>
      </c>
      <c r="F8" s="9">
        <v>2.5399999999999999E-2</v>
      </c>
      <c r="G8" s="12">
        <v>2.9621479999999995E-2</v>
      </c>
      <c r="H8" s="11">
        <f t="shared" si="0"/>
        <v>12547.931470000003</v>
      </c>
      <c r="I8" s="11">
        <v>14633.397680314003</v>
      </c>
    </row>
    <row r="9" spans="1:9" x14ac:dyDescent="0.3">
      <c r="A9" s="6" t="s">
        <v>22</v>
      </c>
      <c r="B9" s="6">
        <v>3010400627</v>
      </c>
      <c r="C9" s="7" t="s">
        <v>23</v>
      </c>
      <c r="D9" s="7" t="s">
        <v>11</v>
      </c>
      <c r="E9" s="8">
        <v>1697680.4400000002</v>
      </c>
      <c r="F9" s="9">
        <v>6.4599999999999996E-3</v>
      </c>
      <c r="G9" s="12">
        <v>7.5336519999999992E-3</v>
      </c>
      <c r="H9" s="11">
        <f t="shared" si="0"/>
        <v>10967.0156424</v>
      </c>
      <c r="I9" s="11">
        <v>12789.733642166881</v>
      </c>
    </row>
    <row r="10" spans="1:9" x14ac:dyDescent="0.3">
      <c r="A10" s="6" t="s">
        <v>24</v>
      </c>
      <c r="B10" s="6">
        <v>7038400365</v>
      </c>
      <c r="C10" s="7" t="s">
        <v>25</v>
      </c>
      <c r="D10" s="7" t="s">
        <v>11</v>
      </c>
      <c r="E10" s="8">
        <v>239943.78999999998</v>
      </c>
      <c r="F10" s="9">
        <v>4.0099999999999997E-2</v>
      </c>
      <c r="G10" s="10">
        <v>4.6764619999999993E-2</v>
      </c>
      <c r="H10" s="11">
        <f t="shared" si="0"/>
        <v>9621.7459789999975</v>
      </c>
      <c r="I10" s="11">
        <v>11220.880160709798</v>
      </c>
    </row>
    <row r="11" spans="1:9" x14ac:dyDescent="0.3">
      <c r="A11" s="6" t="s">
        <v>26</v>
      </c>
      <c r="B11" s="6">
        <v>2020200787</v>
      </c>
      <c r="C11" s="7" t="s">
        <v>27</v>
      </c>
      <c r="D11" s="7" t="s">
        <v>11</v>
      </c>
      <c r="E11" s="8">
        <v>184011</v>
      </c>
      <c r="F11" s="9">
        <v>4.1200000000000001E-2</v>
      </c>
      <c r="G11" s="12">
        <v>4.8047439999999997E-2</v>
      </c>
      <c r="H11" s="11">
        <f t="shared" si="0"/>
        <v>7581.2532000000001</v>
      </c>
      <c r="I11" s="11">
        <v>8841.2574818399989</v>
      </c>
    </row>
    <row r="12" spans="1:9" x14ac:dyDescent="0.3">
      <c r="A12" s="6" t="s">
        <v>28</v>
      </c>
      <c r="B12" s="6">
        <v>3073400592</v>
      </c>
      <c r="C12" s="7" t="s">
        <v>29</v>
      </c>
      <c r="D12" s="7" t="s">
        <v>11</v>
      </c>
      <c r="E12" s="8">
        <v>57837.565199999997</v>
      </c>
      <c r="F12" s="9">
        <v>9.9789397590361456E-2</v>
      </c>
      <c r="G12" s="10">
        <v>0.11637439546987952</v>
      </c>
      <c r="H12" s="11">
        <f t="shared" si="0"/>
        <v>5771.5757894012531</v>
      </c>
      <c r="I12" s="11">
        <v>6730.8116855997405</v>
      </c>
    </row>
    <row r="13" spans="1:9" x14ac:dyDescent="0.3">
      <c r="A13" s="6" t="s">
        <v>30</v>
      </c>
      <c r="B13" s="6">
        <v>3073400595</v>
      </c>
      <c r="C13" s="7" t="s">
        <v>31</v>
      </c>
      <c r="D13" s="7" t="s">
        <v>11</v>
      </c>
      <c r="E13" s="8">
        <v>57837.565199999997</v>
      </c>
      <c r="F13" s="9">
        <v>7.0629397590361395E-2</v>
      </c>
      <c r="G13" s="12">
        <v>8.236800346987945E-2</v>
      </c>
      <c r="H13" s="11">
        <f t="shared" si="0"/>
        <v>4085.0323881692498</v>
      </c>
      <c r="I13" s="11">
        <v>4763.9647710829786</v>
      </c>
    </row>
    <row r="14" spans="1:9" x14ac:dyDescent="0.3">
      <c r="G14" s="13" t="s">
        <v>32</v>
      </c>
      <c r="H14" s="14">
        <f>SUM(H3:H13)</f>
        <v>309675.69877592375</v>
      </c>
      <c r="I14" s="14">
        <f>SUM(I3:I13)</f>
        <v>360365.97583666228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1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2026-06-02T09:10:20Z</dcterms:modified>
</cp:coreProperties>
</file>