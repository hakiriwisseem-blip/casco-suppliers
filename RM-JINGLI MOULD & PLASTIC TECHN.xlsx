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537140B1-842C-4B03-935D-D560ED99D7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H11" i="1"/>
  <c r="H4" i="1"/>
  <c r="H5" i="1"/>
  <c r="H6" i="1"/>
  <c r="H7" i="1"/>
  <c r="H8" i="1"/>
  <c r="H9" i="1"/>
  <c r="H10" i="1"/>
  <c r="H3" i="1"/>
</calcChain>
</file>

<file path=xl/sharedStrings.xml><?xml version="1.0" encoding="utf-8"?>
<sst xmlns="http://schemas.openxmlformats.org/spreadsheetml/2006/main" count="34" uniqueCount="25">
  <si>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</si>
  <si>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</si>
  <si>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</si>
  <si>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</si>
  <si>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</si>
  <si>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</si>
  <si>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</si>
  <si>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3020401237-00</t>
  </si>
  <si>
    <t xml:space="preserve">MOUNTING RING </t>
  </si>
  <si>
    <t>JINGLI MOULD &amp; PLASTIC TECHN</t>
  </si>
  <si>
    <t>3020401238-00</t>
  </si>
  <si>
    <t>COVER</t>
  </si>
  <si>
    <t>2038400109-00</t>
  </si>
  <si>
    <t xml:space="preserve">HOUSING VOLVO TRUCK </t>
  </si>
  <si>
    <t>3020300609-00</t>
  </si>
  <si>
    <t>2038400108-00</t>
  </si>
  <si>
    <t xml:space="preserve">COVER VOLVO TRUCK </t>
  </si>
  <si>
    <t>1020400009-05</t>
  </si>
  <si>
    <t>3010400650-00</t>
  </si>
  <si>
    <t>CONNECTOR HOUSING [218799-02]</t>
  </si>
  <si>
    <t>3010400437-03</t>
  </si>
  <si>
    <t>GLOW RING_BLACK [3010400437]</t>
  </si>
  <si>
    <t>Related Unit Price ¥</t>
  </si>
  <si>
    <t>Yearly Spend ¥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</si>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</sst>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25" sqref="I25"/>
    </sheetView>
  </sheetViews>
  <sheetFormatPr defaultRowHeight="14.4" x14ac:dyDescent="0.3"/>
  <cols>
    <col min="1" max="1" width="19.109375" customWidth="1"/>
    <col min="2" max="2" width="19.77734375" customWidth="1"/>
    <col min="3" max="3" width="31.109375" customWidth="1"/>
    <col min="4" max="4" width="34.44140625" customWidth="1"/>
    <col min="5" max="5" width="16.5546875" customWidth="1"/>
    <col min="6" max="6" width="13.21875" customWidth="1"/>
    <col min="7" max="7" width="13.109375" customWidth="1"/>
    <col min="8" max="8" width="10.2187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</v>
      </c>
      <c r="G1" s="2" t="s">
        <v>5</v>
      </c>
      <c r="H1" s="2" t="s">
        <v>23</v>
      </c>
      <c r="I1" s="2" t="s">
        <v>6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7</v>
      </c>
      <c r="B3" s="6">
        <v>3020401237</v>
      </c>
      <c r="C3" s="7" t="s">
        <v>8</v>
      </c>
      <c r="D3" s="7" t="s">
        <v>9</v>
      </c>
      <c r="E3" s="8">
        <v>1367303</v>
      </c>
      <c r="F3" s="9">
        <v>0.4405</v>
      </c>
      <c r="G3" s="12">
        <v>6.180215E-2</v>
      </c>
      <c r="H3" s="11">
        <f>(F3*E3)</f>
        <v>602296.97149999999</v>
      </c>
      <c r="I3" s="11">
        <v>84502.265101450001</v>
      </c>
    </row>
    <row r="4" spans="1:9" x14ac:dyDescent="0.3">
      <c r="A4" s="6" t="s">
        <v>10</v>
      </c>
      <c r="B4" s="6">
        <v>3020401238</v>
      </c>
      <c r="C4" s="7" t="s">
        <v>11</v>
      </c>
      <c r="D4" s="7" t="s">
        <v>9</v>
      </c>
      <c r="E4" s="8">
        <v>1367303</v>
      </c>
      <c r="F4" s="9">
        <v>0.3251</v>
      </c>
      <c r="G4" s="10">
        <v>4.5611530000000004E-2</v>
      </c>
      <c r="H4" s="11">
        <f t="shared" ref="H4:H10" si="0">(F4*E4)</f>
        <v>444510.20529999997</v>
      </c>
      <c r="I4" s="11">
        <v>62364.781803590005</v>
      </c>
    </row>
    <row r="5" spans="1:9" x14ac:dyDescent="0.3">
      <c r="A5" s="6" t="s">
        <v>12</v>
      </c>
      <c r="B5" s="6">
        <v>2038400109</v>
      </c>
      <c r="C5" s="7" t="s">
        <v>13</v>
      </c>
      <c r="D5" s="7" t="s">
        <v>9</v>
      </c>
      <c r="E5" s="8">
        <v>135000.00000000015</v>
      </c>
      <c r="F5" s="9">
        <v>1.75</v>
      </c>
      <c r="G5" s="10">
        <v>0.24552500000000002</v>
      </c>
      <c r="H5" s="11">
        <f t="shared" si="0"/>
        <v>236250.00000000026</v>
      </c>
      <c r="I5" s="11">
        <v>33145.875000000036</v>
      </c>
    </row>
    <row r="6" spans="1:9" x14ac:dyDescent="0.3">
      <c r="A6" s="6" t="s">
        <v>14</v>
      </c>
      <c r="B6" s="6">
        <v>3020300609</v>
      </c>
      <c r="C6" s="7" t="s">
        <v>11</v>
      </c>
      <c r="D6" s="7" t="s">
        <v>9</v>
      </c>
      <c r="E6" s="8">
        <v>374145</v>
      </c>
      <c r="F6" s="9">
        <v>0.60209999999999997</v>
      </c>
      <c r="G6" s="12">
        <v>8.4474629999999995E-2</v>
      </c>
      <c r="H6" s="11">
        <f t="shared" si="0"/>
        <v>225272.70449999999</v>
      </c>
      <c r="I6" s="11">
        <v>31605.760441349998</v>
      </c>
    </row>
    <row r="7" spans="1:9" x14ac:dyDescent="0.3">
      <c r="A7" s="6" t="s">
        <v>15</v>
      </c>
      <c r="B7" s="6">
        <v>2038400108</v>
      </c>
      <c r="C7" s="7" t="s">
        <v>16</v>
      </c>
      <c r="D7" s="7" t="s">
        <v>9</v>
      </c>
      <c r="E7" s="8">
        <v>135000.00000000015</v>
      </c>
      <c r="F7" s="9">
        <v>1.42</v>
      </c>
      <c r="G7" s="12">
        <v>0.19922599999999999</v>
      </c>
      <c r="H7" s="11">
        <f t="shared" si="0"/>
        <v>191700.0000000002</v>
      </c>
      <c r="I7" s="11">
        <v>26895.510000000028</v>
      </c>
    </row>
    <row r="8" spans="1:9" x14ac:dyDescent="0.3">
      <c r="A8" s="6" t="s">
        <v>17</v>
      </c>
      <c r="B8" s="6">
        <v>1020400009</v>
      </c>
      <c r="C8" s="7" t="s">
        <v>8</v>
      </c>
      <c r="D8" s="7" t="s">
        <v>9</v>
      </c>
      <c r="E8" s="8">
        <v>179965.89999999997</v>
      </c>
      <c r="F8" s="9">
        <v>0.39179999999999998</v>
      </c>
      <c r="G8" s="10">
        <v>5.4969539999999997E-2</v>
      </c>
      <c r="H8" s="11">
        <f t="shared" si="0"/>
        <v>70510.639619999987</v>
      </c>
      <c r="I8" s="11">
        <v>9892.6427386859978</v>
      </c>
    </row>
    <row r="9" spans="1:9" x14ac:dyDescent="0.3">
      <c r="A9" s="6" t="s">
        <v>18</v>
      </c>
      <c r="B9" s="6">
        <v>3010400650</v>
      </c>
      <c r="C9" s="7" t="s">
        <v>19</v>
      </c>
      <c r="D9" s="7" t="s">
        <v>9</v>
      </c>
      <c r="E9" s="8">
        <v>40672</v>
      </c>
      <c r="F9" s="9">
        <v>0.495</v>
      </c>
      <c r="G9" s="10">
        <v>6.9448499999999996E-2</v>
      </c>
      <c r="H9" s="11">
        <f t="shared" si="0"/>
        <v>20132.64</v>
      </c>
      <c r="I9" s="11">
        <v>2824.6093919999998</v>
      </c>
    </row>
    <row r="10" spans="1:9" x14ac:dyDescent="0.3">
      <c r="A10" s="7" t="s">
        <v>20</v>
      </c>
      <c r="B10" s="7">
        <v>3010400437</v>
      </c>
      <c r="C10" s="7" t="s">
        <v>21</v>
      </c>
      <c r="D10" s="7" t="s">
        <v>9</v>
      </c>
      <c r="E10" s="8">
        <v>4574</v>
      </c>
      <c r="F10" s="9">
        <v>0.46910000000000002</v>
      </c>
      <c r="G10" s="10">
        <v>6.5814730000000002E-2</v>
      </c>
      <c r="H10" s="11">
        <f t="shared" si="0"/>
        <v>2145.6633999999999</v>
      </c>
      <c r="I10" s="11">
        <v>301.03657501999999</v>
      </c>
    </row>
    <row r="11" spans="1:9" x14ac:dyDescent="0.3">
      <c r="G11" s="13" t="s">
        <v>24</v>
      </c>
      <c r="H11" s="14">
        <f>SUM(H3:H10)</f>
        <v>1792818.8243200004</v>
      </c>
      <c r="I11" s="14">
        <f>SUM(I3:I10)</f>
        <v>251532.48105209609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3:B1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2026-06-02T09:20:47Z</dcterms:modified>
</cp:coreProperties>
</file>