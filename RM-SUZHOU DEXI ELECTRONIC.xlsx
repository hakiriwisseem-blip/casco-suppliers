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Y:\Data_Info\11_Achat\supplier-management\RM\"/>
    </mc:Choice>
  </mc:AlternateContent>
  <xr:revisionPtr revIDLastSave="0" documentId="13_ncr:1_{5BB8FB1F-CD31-4014-8DFB-10E51A901EE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0" i="1" l="1"/>
</calcChain>
</file>

<file path=xl/sharedStrings.xml><?xml version="1.0" encoding="utf-8"?>
<sst xmlns="http://schemas.openxmlformats.org/spreadsheetml/2006/main" count="29" uniqueCount="22">
  <si>
    <t>CAT PN</t>
  </si>
  <si>
    <t>PN without Eng. Indices</t>
  </si>
  <si>
    <t>Description</t>
  </si>
  <si>
    <t>CAT Direct Supplier</t>
  </si>
  <si>
    <t>CY2026 Total demand (UM)</t>
  </si>
  <si>
    <t>Related Unit Price $</t>
  </si>
  <si>
    <t>Yearly Spend $</t>
  </si>
  <si>
    <t>3020400177-01</t>
  </si>
  <si>
    <t xml:space="preserve">MOUNTING RING </t>
  </si>
  <si>
    <t>SUZHOU DEXI ELECTRONIC TEC</t>
  </si>
  <si>
    <t>3020300608-00</t>
  </si>
  <si>
    <t xml:space="preserve">Cover with Print </t>
  </si>
  <si>
    <t>3010400073-00</t>
  </si>
  <si>
    <t>SCHEIBE [3010400073]</t>
  </si>
  <si>
    <t>3010400141-01</t>
  </si>
  <si>
    <t>3020200687-01</t>
  </si>
  <si>
    <t>Mounting Ring PT00049164</t>
  </si>
  <si>
    <t>3020400152-00</t>
  </si>
  <si>
    <t>INTERNAL INSULATOR [3020400152]</t>
  </si>
  <si>
    <t>2036400058-00</t>
  </si>
  <si>
    <t>Keil</t>
  </si>
  <si>
    <t xml:space="preserve">Total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</si>
</sst>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_-;\-* #,##0_-;_-* &quot;-&quot;??_-;_-@_-"/>
    <numFmt numFmtId="165" formatCode="_-* #,##0.0000_-;\-* #,##0.0000_-;_-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3">
    <xf numFmtId="0" fontId="0" fillId="0" borderId="0" xfId="0"/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0" fillId="2" borderId="5" xfId="0" applyFill="1" applyBorder="1"/>
    <xf numFmtId="0" fontId="0" fillId="0" borderId="5" xfId="0" applyBorder="1"/>
    <xf numFmtId="164" fontId="0" fillId="2" borderId="5" xfId="1" applyNumberFormat="1" applyFont="1" applyFill="1" applyBorder="1"/>
    <xf numFmtId="165" fontId="0" fillId="0" borderId="5" xfId="1" applyNumberFormat="1" applyFont="1" applyBorder="1"/>
    <xf numFmtId="164" fontId="0" fillId="0" borderId="6" xfId="0" applyNumberFormat="1" applyBorder="1"/>
    <xf numFmtId="0" fontId="2" fillId="3" borderId="5" xfId="0" applyFont="1" applyFill="1" applyBorder="1" applyAlignment="1">
      <alignment horizontal="center"/>
    </xf>
    <xf numFmtId="164" fontId="2" fillId="3" borderId="5" xfId="0" applyNumberFormat="1" applyFont="1" applyFill="1" applyBorder="1" applyAlignment="1">
      <alignment horizontal="center"/>
    </xf>
  </cellXfs>
  <cellStyles count="2">
    <cellStyle name="Comma" xfId="1" builtinId="3"/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"/>
  <sheetViews>
    <sheetView tabSelected="1" workbookViewId="0">
      <selection activeCell="E13" sqref="E13"/>
    </sheetView>
  </sheetViews>
  <sheetFormatPr defaultRowHeight="14.4" x14ac:dyDescent="0.3"/>
  <cols>
    <col min="1" max="1" width="14" customWidth="1"/>
    <col min="2" max="2" width="14.5546875" customWidth="1"/>
    <col min="3" max="3" width="33.88671875" customWidth="1"/>
    <col min="4" max="4" width="29.109375" customWidth="1"/>
    <col min="5" max="5" width="16.21875" customWidth="1"/>
    <col min="6" max="6" width="11.6640625" customWidth="1"/>
  </cols>
  <sheetData>
    <row r="1" spans="1:7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15" thickBot="1" x14ac:dyDescent="0.35">
      <c r="A2" s="3"/>
      <c r="B2" s="4"/>
      <c r="C2" s="4"/>
      <c r="D2" s="4"/>
      <c r="E2" s="5"/>
      <c r="F2" s="5"/>
      <c r="G2" s="5"/>
    </row>
    <row r="3" spans="1:7" ht="14.4" customHeight="1" x14ac:dyDescent="0.3">
      <c r="A3" s="6" t="s">
        <v>7</v>
      </c>
      <c r="B3" s="6">
        <v>3020400177</v>
      </c>
      <c r="C3" s="7" t="s">
        <v>8</v>
      </c>
      <c r="D3" s="7" t="s">
        <v>9</v>
      </c>
      <c r="E3" s="8">
        <v>205029.12000000002</v>
      </c>
      <c r="F3" s="9">
        <v>6.8199999999999997E-2</v>
      </c>
      <c r="G3" s="10">
        <v>13982.985984000001</v>
      </c>
    </row>
    <row r="4" spans="1:7" x14ac:dyDescent="0.3">
      <c r="A4" s="6" t="s">
        <v>10</v>
      </c>
      <c r="B4" s="6">
        <v>3020300608</v>
      </c>
      <c r="C4" s="7" t="s">
        <v>11</v>
      </c>
      <c r="D4" s="7" t="s">
        <v>9</v>
      </c>
      <c r="E4" s="8">
        <v>90650</v>
      </c>
      <c r="F4" s="9">
        <v>6.3200000000000006E-2</v>
      </c>
      <c r="G4" s="10">
        <v>5729.0800000000008</v>
      </c>
    </row>
    <row r="5" spans="1:7" x14ac:dyDescent="0.3">
      <c r="A5" s="6" t="s">
        <v>12</v>
      </c>
      <c r="B5" s="6">
        <v>3010400073</v>
      </c>
      <c r="C5" s="7" t="s">
        <v>13</v>
      </c>
      <c r="D5" s="7" t="s">
        <v>9</v>
      </c>
      <c r="E5" s="8">
        <v>196080</v>
      </c>
      <c r="F5" s="9">
        <v>2.3800000000000002E-2</v>
      </c>
      <c r="G5" s="10">
        <v>4666.7040000000006</v>
      </c>
    </row>
    <row r="6" spans="1:7" x14ac:dyDescent="0.3">
      <c r="A6" s="6" t="s">
        <v>14</v>
      </c>
      <c r="B6" s="6">
        <v>3010400141</v>
      </c>
      <c r="C6" s="7" t="s">
        <v>8</v>
      </c>
      <c r="D6" s="7" t="s">
        <v>9</v>
      </c>
      <c r="E6" s="8">
        <v>51000</v>
      </c>
      <c r="F6" s="9">
        <v>7.6300000000000007E-2</v>
      </c>
      <c r="G6" s="10">
        <v>3891.3</v>
      </c>
    </row>
    <row r="7" spans="1:7" x14ac:dyDescent="0.3">
      <c r="A7" s="6" t="s">
        <v>15</v>
      </c>
      <c r="B7" s="6">
        <v>3020200687</v>
      </c>
      <c r="C7" s="7" t="s">
        <v>16</v>
      </c>
      <c r="D7" s="7" t="s">
        <v>9</v>
      </c>
      <c r="E7" s="8">
        <v>13072.000000000002</v>
      </c>
      <c r="F7" s="9">
        <v>0.1164</v>
      </c>
      <c r="G7" s="10">
        <v>1521.5808000000002</v>
      </c>
    </row>
    <row r="8" spans="1:7" x14ac:dyDescent="0.3">
      <c r="A8" s="6" t="s">
        <v>17</v>
      </c>
      <c r="B8" s="6">
        <v>3020400152</v>
      </c>
      <c r="C8" s="7" t="s">
        <v>18</v>
      </c>
      <c r="D8" s="7" t="s">
        <v>9</v>
      </c>
      <c r="E8" s="8">
        <v>55000</v>
      </c>
      <c r="F8" s="9">
        <v>2.6700000000000002E-2</v>
      </c>
      <c r="G8" s="10">
        <v>1468.5</v>
      </c>
    </row>
    <row r="9" spans="1:7" x14ac:dyDescent="0.3">
      <c r="A9" s="7" t="s">
        <v>19</v>
      </c>
      <c r="B9" s="7">
        <v>2036400058</v>
      </c>
      <c r="C9" s="7" t="s">
        <v>20</v>
      </c>
      <c r="D9" s="7" t="s">
        <v>9</v>
      </c>
      <c r="E9" s="8">
        <v>50.000000000000064</v>
      </c>
      <c r="F9" s="9">
        <v>7.0000000000000007E-2</v>
      </c>
      <c r="G9" s="10">
        <v>3.5000000000000049</v>
      </c>
    </row>
    <row r="10" spans="1:7" x14ac:dyDescent="0.3">
      <c r="F10" s="11" t="s">
        <v>21</v>
      </c>
      <c r="G10" s="12">
        <f>SUM(G3:G9)</f>
        <v>31263.650784000001</v>
      </c>
    </row>
  </sheetData>
  <mergeCells count="7">
    <mergeCell ref="F1:F2"/>
    <mergeCell ref="G1:G2"/>
    <mergeCell ref="A1:A2"/>
    <mergeCell ref="B1:B2"/>
    <mergeCell ref="C1:C2"/>
    <mergeCell ref="D1:D2"/>
    <mergeCell ref="E1:E2"/>
  </mergeCells>
  <conditionalFormatting sqref="B3:B9">
    <cfRule type="duplicateValues" dxfId="1" priority="1"/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Wissem Hkiri</dc:creator>
  <cp:lastModifiedBy>Wissem Hkiri</cp:lastModifiedBy>
  <dcterms:created xsi:type="dcterms:W3CDTF">2015-06-05T18:17:20Z</dcterms:created>
  <dcterms:modified xsi:type="dcterms:W3CDTF">2026-06-02T12:44:22Z</dcterms:modified>
</cp:coreProperties>
</file>