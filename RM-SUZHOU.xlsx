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282ADA9E-9A85-4EA5-8035-021CE71BDC5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</calcChain>
</file>

<file path=xl/sharedStrings.xml><?xml version="1.0" encoding="utf-8"?>
<sst xmlns="http://schemas.openxmlformats.org/spreadsheetml/2006/main" count="58" uniqueCount="43">
  <si>
    <t>CAT PN</t>
  </si>
  <si>
    <t>PN without Eng. Indices</t>
  </si>
  <si>
    <t>Description</t>
  </si>
  <si>
    <t>CAT Direct Supplier</t>
  </si>
  <si>
    <t>CY2026 Total demand (UM)</t>
  </si>
  <si>
    <t>1055300361-01</t>
  </si>
  <si>
    <t>3.6kw BP X2Pigtail SUB A HVPO Stellantis</t>
  </si>
  <si>
    <t>SUZHOU DONG WEI CONNECTOR ELECTRONIC</t>
  </si>
  <si>
    <t>1055400742-04</t>
  </si>
  <si>
    <t>7.2 KW HVPO PIGTAIL ASY Stellantis</t>
  </si>
  <si>
    <t>3020301206-00</t>
  </si>
  <si>
    <t xml:space="preserve">GROUND WIRE WITH BROW </t>
  </si>
  <si>
    <t>3020301207-00</t>
  </si>
  <si>
    <t xml:space="preserve">POSITIVE WIRE WITH RED </t>
  </si>
  <si>
    <t>1055400313-01</t>
  </si>
  <si>
    <t>Enable button HVPO BP</t>
  </si>
  <si>
    <t>1055400179-02</t>
  </si>
  <si>
    <t xml:space="preserve"> HVPO BP PIGTAIL ASSY Stellantis 68581522AB</t>
  </si>
  <si>
    <t>3020300153-00</t>
  </si>
  <si>
    <t xml:space="preserve">GROUND WIRE CPL WITHBROW </t>
  </si>
  <si>
    <t>1055400178-00</t>
  </si>
  <si>
    <t>HVPOBP ENABLE BUTTON ASY Stellantis 68581522AA</t>
  </si>
  <si>
    <t>1055300321-01</t>
  </si>
  <si>
    <t>PIG-TAIL SUB-ASSY Stellantis 68643791AA</t>
  </si>
  <si>
    <t>1055400745-00</t>
  </si>
  <si>
    <t>COVER  JUMPER CABLE A Stellantis</t>
  </si>
  <si>
    <t>3055300076-00</t>
  </si>
  <si>
    <t xml:space="preserve">AC2 CABLE,HVPO,920B </t>
  </si>
  <si>
    <t>3055300077-00</t>
  </si>
  <si>
    <t xml:space="preserve">GND CABLE,HVPO,920B </t>
  </si>
  <si>
    <t>3055300075-00</t>
  </si>
  <si>
    <t xml:space="preserve">AC1 CABLE,HVPO,920B </t>
  </si>
  <si>
    <t>1055400344-01</t>
  </si>
  <si>
    <t>HVPO BP JUMPER CABLE Stellantis 68581522AB</t>
  </si>
  <si>
    <t>3010400559-00</t>
  </si>
  <si>
    <t>POSITIVE HARDNESS 260MM [3010400559]</t>
  </si>
  <si>
    <t>3010400558-00</t>
  </si>
  <si>
    <t>GROUND HARDNESS 260MM [3010400558]</t>
  </si>
  <si>
    <t>Related Unit Price $</t>
  </si>
  <si>
    <t>Yearly Spend $</t>
  </si>
  <si>
    <t xml:space="preserve">Related Unit Price ¥ </t>
  </si>
  <si>
    <t>Total</t>
  </si>
  <si>
    <t xml:space="preserve">Yearly Spend 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</si>
</sst>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5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0" fontId="4" fillId="3" borderId="5" xfId="0" applyFont="1" applyFill="1" applyBorder="1" applyAlignment="1">
      <alignment horizontal="center"/>
    </xf>
    <xf numFmtId="164" fontId="3" fillId="3" borderId="5" xfId="0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1" sqref="H1:H2"/>
    </sheetView>
  </sheetViews>
  <sheetFormatPr defaultRowHeight="14.4" x14ac:dyDescent="0.3"/>
  <cols>
    <col min="1" max="1" width="22.21875" customWidth="1"/>
    <col min="2" max="2" width="17.21875" customWidth="1"/>
    <col min="3" max="3" width="46.6640625" customWidth="1"/>
    <col min="4" max="4" width="42.88671875" customWidth="1"/>
    <col min="5" max="5" width="17.33203125" customWidth="1"/>
    <col min="6" max="6" width="14.5546875" customWidth="1"/>
    <col min="7" max="7" width="13.6640625" customWidth="1"/>
    <col min="8" max="8" width="15.44140625" customWidth="1"/>
    <col min="9" max="9" width="13.6640625" customWidth="1"/>
  </cols>
  <sheetData>
    <row r="1" spans="1:9" ht="14.4" customHeight="1" x14ac:dyDescent="0.3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40</v>
      </c>
      <c r="G1" s="10" t="s">
        <v>38</v>
      </c>
      <c r="H1" s="10" t="s">
        <v>42</v>
      </c>
      <c r="I1" s="10" t="s">
        <v>39</v>
      </c>
    </row>
    <row r="2" spans="1:9" ht="15" thickBot="1" x14ac:dyDescent="0.35">
      <c r="A2" s="13"/>
      <c r="B2" s="14"/>
      <c r="C2" s="14"/>
      <c r="D2" s="14"/>
      <c r="E2" s="11"/>
      <c r="F2" s="11"/>
      <c r="G2" s="11"/>
      <c r="H2" s="11"/>
      <c r="I2" s="11"/>
    </row>
    <row r="3" spans="1:9" x14ac:dyDescent="0.3">
      <c r="A3" s="1" t="s">
        <v>5</v>
      </c>
      <c r="B3" s="1">
        <v>1055300361</v>
      </c>
      <c r="C3" s="2" t="s">
        <v>6</v>
      </c>
      <c r="D3" s="2" t="s">
        <v>7</v>
      </c>
      <c r="E3" s="3">
        <v>51600.000571208002</v>
      </c>
      <c r="F3" s="4">
        <v>197.09</v>
      </c>
      <c r="G3" s="5">
        <v>27.651727000000001</v>
      </c>
      <c r="H3" s="3">
        <f>(F3*E3)</f>
        <v>10169844.112579385</v>
      </c>
      <c r="I3" s="7">
        <v>1426829.1289948877</v>
      </c>
    </row>
    <row r="4" spans="1:9" x14ac:dyDescent="0.3">
      <c r="A4" s="2" t="s">
        <v>8</v>
      </c>
      <c r="B4" s="2">
        <v>1055400742</v>
      </c>
      <c r="C4" s="2" t="s">
        <v>9</v>
      </c>
      <c r="D4" s="2" t="s">
        <v>7</v>
      </c>
      <c r="E4" s="3">
        <v>9040.0001000720986</v>
      </c>
      <c r="F4" s="4">
        <v>200.41</v>
      </c>
      <c r="G4" s="6">
        <v>28.117523000000002</v>
      </c>
      <c r="H4" s="3">
        <f t="shared" ref="H4:H18" si="0">(F4*E4)</f>
        <v>1811706.4200554492</v>
      </c>
      <c r="I4" s="7">
        <v>254182.41073377954</v>
      </c>
    </row>
    <row r="5" spans="1:9" x14ac:dyDescent="0.3">
      <c r="A5" s="1" t="s">
        <v>10</v>
      </c>
      <c r="B5" s="1">
        <v>3020301206</v>
      </c>
      <c r="C5" s="2" t="s">
        <v>11</v>
      </c>
      <c r="D5" s="2" t="s">
        <v>7</v>
      </c>
      <c r="E5" s="3">
        <v>1303018.0000000002</v>
      </c>
      <c r="F5" s="4">
        <v>1.22</v>
      </c>
      <c r="G5" s="5">
        <v>0.17116600000000001</v>
      </c>
      <c r="H5" s="3">
        <f t="shared" si="0"/>
        <v>1589681.9600000002</v>
      </c>
      <c r="I5" s="7">
        <v>223032.37898800007</v>
      </c>
    </row>
    <row r="6" spans="1:9" x14ac:dyDescent="0.3">
      <c r="A6" s="1" t="s">
        <v>12</v>
      </c>
      <c r="B6" s="1">
        <v>3020301207</v>
      </c>
      <c r="C6" s="2" t="s">
        <v>13</v>
      </c>
      <c r="D6" s="2" t="s">
        <v>7</v>
      </c>
      <c r="E6" s="3">
        <v>1303018.0000000002</v>
      </c>
      <c r="F6" s="4">
        <v>1.2</v>
      </c>
      <c r="G6" s="5">
        <v>0.16836000000000001</v>
      </c>
      <c r="H6" s="3">
        <f t="shared" si="0"/>
        <v>1563621.6000000003</v>
      </c>
      <c r="I6" s="7">
        <v>219376.11048000006</v>
      </c>
    </row>
    <row r="7" spans="1:9" x14ac:dyDescent="0.3">
      <c r="A7" s="2" t="s">
        <v>14</v>
      </c>
      <c r="B7" s="2">
        <v>1055400313</v>
      </c>
      <c r="C7" s="2" t="s">
        <v>15</v>
      </c>
      <c r="D7" s="2" t="s">
        <v>7</v>
      </c>
      <c r="E7" s="3">
        <v>61665.568671280103</v>
      </c>
      <c r="F7" s="4">
        <v>15.69</v>
      </c>
      <c r="G7" s="5">
        <v>2.2013069999999999</v>
      </c>
      <c r="H7" s="3">
        <f t="shared" si="0"/>
        <v>967532.77245238482</v>
      </c>
      <c r="I7" s="7">
        <v>135744.8479750696</v>
      </c>
    </row>
    <row r="8" spans="1:9" x14ac:dyDescent="0.3">
      <c r="A8" s="1" t="s">
        <v>16</v>
      </c>
      <c r="B8" s="1">
        <v>1055400179</v>
      </c>
      <c r="C8" s="2" t="s">
        <v>17</v>
      </c>
      <c r="D8" s="2" t="s">
        <v>7</v>
      </c>
      <c r="E8" s="3">
        <v>12011.200000000003</v>
      </c>
      <c r="F8" s="4">
        <v>44.65</v>
      </c>
      <c r="G8" s="6">
        <v>6.2643950000000004</v>
      </c>
      <c r="H8" s="3">
        <f t="shared" si="0"/>
        <v>536300.08000000007</v>
      </c>
      <c r="I8" s="7">
        <v>75242.901224000016</v>
      </c>
    </row>
    <row r="9" spans="1:9" x14ac:dyDescent="0.3">
      <c r="A9" s="1" t="s">
        <v>18</v>
      </c>
      <c r="B9" s="1">
        <v>3020300153</v>
      </c>
      <c r="C9" s="2" t="s">
        <v>19</v>
      </c>
      <c r="D9" s="2" t="s">
        <v>7</v>
      </c>
      <c r="E9" s="3">
        <v>205029.12000000002</v>
      </c>
      <c r="F9" s="4">
        <v>1.19</v>
      </c>
      <c r="G9" s="5">
        <v>0.16695699999999999</v>
      </c>
      <c r="H9" s="3">
        <f t="shared" si="0"/>
        <v>243984.65280000001</v>
      </c>
      <c r="I9" s="7">
        <v>34231.046787840001</v>
      </c>
    </row>
    <row r="10" spans="1:9" x14ac:dyDescent="0.3">
      <c r="A10" s="1" t="s">
        <v>20</v>
      </c>
      <c r="B10" s="1">
        <v>1055400178</v>
      </c>
      <c r="C10" s="2" t="s">
        <v>21</v>
      </c>
      <c r="D10" s="2" t="s">
        <v>7</v>
      </c>
      <c r="E10" s="3">
        <v>12011.200000000003</v>
      </c>
      <c r="F10" s="4">
        <v>15.25</v>
      </c>
      <c r="G10" s="6">
        <v>2.1395750000000002</v>
      </c>
      <c r="H10" s="3">
        <f t="shared" si="0"/>
        <v>183170.80000000005</v>
      </c>
      <c r="I10" s="7">
        <v>25698.86324000001</v>
      </c>
    </row>
    <row r="11" spans="1:9" x14ac:dyDescent="0.3">
      <c r="A11" s="2" t="s">
        <v>22</v>
      </c>
      <c r="B11" s="2">
        <v>1055300321</v>
      </c>
      <c r="C11" s="2" t="s">
        <v>23</v>
      </c>
      <c r="D11" s="2" t="s">
        <v>7</v>
      </c>
      <c r="E11" s="3">
        <v>1025.568</v>
      </c>
      <c r="F11" s="4">
        <v>122.26</v>
      </c>
      <c r="G11" s="5">
        <v>17.153078000000001</v>
      </c>
      <c r="H11" s="3">
        <f t="shared" si="0"/>
        <v>125385.94368</v>
      </c>
      <c r="I11" s="7">
        <v>17591.647898304</v>
      </c>
    </row>
    <row r="12" spans="1:9" x14ac:dyDescent="0.3">
      <c r="A12" s="2" t="s">
        <v>24</v>
      </c>
      <c r="B12" s="2">
        <v>1055400745</v>
      </c>
      <c r="C12" s="2" t="s">
        <v>25</v>
      </c>
      <c r="D12" s="2" t="s">
        <v>7</v>
      </c>
      <c r="E12" s="3">
        <v>9040.0001000720986</v>
      </c>
      <c r="F12" s="4">
        <v>6.1033999999999997</v>
      </c>
      <c r="G12" s="5">
        <v>0.85630702000000003</v>
      </c>
      <c r="H12" s="3">
        <f t="shared" si="0"/>
        <v>55174.736610780041</v>
      </c>
      <c r="I12" s="7">
        <v>7741.015546492441</v>
      </c>
    </row>
    <row r="13" spans="1:9" x14ac:dyDescent="0.3">
      <c r="A13" s="1" t="s">
        <v>26</v>
      </c>
      <c r="B13" s="1">
        <v>3055300076</v>
      </c>
      <c r="C13" s="2" t="s">
        <v>27</v>
      </c>
      <c r="D13" s="2" t="s">
        <v>7</v>
      </c>
      <c r="E13" s="3">
        <v>28806.749999999996</v>
      </c>
      <c r="F13" s="4">
        <v>1.47</v>
      </c>
      <c r="G13" s="6">
        <v>0.20624100000000001</v>
      </c>
      <c r="H13" s="3">
        <f t="shared" si="0"/>
        <v>42345.922499999993</v>
      </c>
      <c r="I13" s="7">
        <v>5941.1329267499996</v>
      </c>
    </row>
    <row r="14" spans="1:9" x14ac:dyDescent="0.3">
      <c r="A14" s="1" t="s">
        <v>28</v>
      </c>
      <c r="B14" s="1">
        <v>3055300077</v>
      </c>
      <c r="C14" s="2" t="s">
        <v>29</v>
      </c>
      <c r="D14" s="2" t="s">
        <v>7</v>
      </c>
      <c r="E14" s="3">
        <v>28806.749999999996</v>
      </c>
      <c r="F14" s="4">
        <v>1.4</v>
      </c>
      <c r="G14" s="5">
        <v>0.19641999999999998</v>
      </c>
      <c r="H14" s="3">
        <f t="shared" si="0"/>
        <v>40329.44999999999</v>
      </c>
      <c r="I14" s="7">
        <v>5658.2218349999985</v>
      </c>
    </row>
    <row r="15" spans="1:9" x14ac:dyDescent="0.3">
      <c r="A15" s="1" t="s">
        <v>30</v>
      </c>
      <c r="B15" s="1">
        <v>3055300075</v>
      </c>
      <c r="C15" s="2" t="s">
        <v>31</v>
      </c>
      <c r="D15" s="2" t="s">
        <v>7</v>
      </c>
      <c r="E15" s="3">
        <v>28806.749999999996</v>
      </c>
      <c r="F15" s="4">
        <v>1.27</v>
      </c>
      <c r="G15" s="6">
        <v>0.17818100000000001</v>
      </c>
      <c r="H15" s="3">
        <f t="shared" si="0"/>
        <v>36584.572499999995</v>
      </c>
      <c r="I15" s="7">
        <v>5132.8155217499998</v>
      </c>
    </row>
    <row r="16" spans="1:9" x14ac:dyDescent="0.3">
      <c r="A16" s="1" t="s">
        <v>32</v>
      </c>
      <c r="B16" s="1">
        <v>1055400344</v>
      </c>
      <c r="C16" s="2" t="s">
        <v>33</v>
      </c>
      <c r="D16" s="2" t="s">
        <v>7</v>
      </c>
      <c r="E16" s="3">
        <v>12011.200000000003</v>
      </c>
      <c r="F16" s="4">
        <v>2.71</v>
      </c>
      <c r="G16" s="6">
        <v>0.38021300000000002</v>
      </c>
      <c r="H16" s="3">
        <f t="shared" si="0"/>
        <v>32550.352000000006</v>
      </c>
      <c r="I16" s="7">
        <v>4566.8143856000015</v>
      </c>
    </row>
    <row r="17" spans="1:9" x14ac:dyDescent="0.3">
      <c r="A17" s="2" t="s">
        <v>34</v>
      </c>
      <c r="B17" s="2">
        <v>3010400559</v>
      </c>
      <c r="C17" s="2" t="s">
        <v>35</v>
      </c>
      <c r="D17" s="2" t="s">
        <v>7</v>
      </c>
      <c r="E17" s="3">
        <v>4574</v>
      </c>
      <c r="F17" s="4">
        <v>1.5</v>
      </c>
      <c r="G17" s="6">
        <v>0.21045</v>
      </c>
      <c r="H17" s="3">
        <f t="shared" si="0"/>
        <v>6861</v>
      </c>
      <c r="I17" s="7">
        <v>962.59829999999999</v>
      </c>
    </row>
    <row r="18" spans="1:9" x14ac:dyDescent="0.3">
      <c r="A18" s="2" t="s">
        <v>36</v>
      </c>
      <c r="B18" s="2">
        <v>3010400558</v>
      </c>
      <c r="C18" s="2" t="s">
        <v>37</v>
      </c>
      <c r="D18" s="2" t="s">
        <v>7</v>
      </c>
      <c r="E18" s="3">
        <v>4574</v>
      </c>
      <c r="F18" s="4">
        <v>1.48</v>
      </c>
      <c r="G18" s="6">
        <v>0.207644</v>
      </c>
      <c r="H18" s="3">
        <f t="shared" si="0"/>
        <v>6769.5199999999995</v>
      </c>
      <c r="I18" s="7">
        <v>949.76365599999997</v>
      </c>
    </row>
    <row r="19" spans="1:9" x14ac:dyDescent="0.3">
      <c r="G19" s="8" t="s">
        <v>41</v>
      </c>
      <c r="H19" s="9">
        <f>(H3+H4+H5+H7+H6+H8+H9+H10+H11+H12+H13+H14+H15+H17+H16+H18)</f>
        <v>17411843.895178001</v>
      </c>
      <c r="I19" s="9">
        <f>(I3+I4+I5+I6+I7+I8+I10+I9+I11+I12+I13+I14+I15+I16+I17+I18)</f>
        <v>2442881.6984934732</v>
      </c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B1:B2">
    <cfRule type="duplicateValues" dxfId="3" priority="1"/>
    <cfRule type="duplicateValues" dxfId="2" priority="2"/>
  </conditionalFormatting>
  <conditionalFormatting sqref="B3:B18">
    <cfRule type="duplicateValues" dxfId="1" priority="3"/>
    <cfRule type="duplicateValues" dxfId="0" priority="4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1b95bb-6758-456a-9ff4-1e70b2845cd3}" enabled="0" method="" siteId="{4e1b95bb-6758-456a-9ff4-1e70b2845c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2026-05-19T07:25:29Z</dcterms:modified>
</cp:coreProperties>
</file>