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17F99470-9974-4AFC-ADDF-D07F016EC1E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3" i="1"/>
</calcChain>
</file>

<file path=xl/sharedStrings.xml><?xml version="1.0" encoding="utf-8"?>
<sst xmlns="http://schemas.openxmlformats.org/spreadsheetml/2006/main" count="190" uniqueCount="110">
  <si>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</si>
  <si>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</si>
  <si>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</si>
  <si>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</si>
  <si>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</si>
  <si>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</si>
  <si>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</si>
  <si>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</si>
  <si>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</si>
  <si>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7020400016-00</t>
  </si>
  <si>
    <t xml:space="preserve">S-E A1678205301 </t>
  </si>
  <si>
    <t>COELEC TUNISIA</t>
  </si>
  <si>
    <t>7020400017-00</t>
  </si>
  <si>
    <t>2020400397-02</t>
  </si>
  <si>
    <t xml:space="preserve">S-E 2010200297-00 </t>
  </si>
  <si>
    <t>2020400400-02</t>
  </si>
  <si>
    <t>2020400403-02</t>
  </si>
  <si>
    <t>7020400014-00</t>
  </si>
  <si>
    <t xml:space="preserve">S-E 202020011000 </t>
  </si>
  <si>
    <t>7020400015-00</t>
  </si>
  <si>
    <t>7010400004-00</t>
  </si>
  <si>
    <t>S-E 1414B/1494 /63/20/72 /</t>
  </si>
  <si>
    <t>2020400399-02</t>
  </si>
  <si>
    <t xml:space="preserve">S-E 2010200299-00 </t>
  </si>
  <si>
    <t>7010400061-01</t>
  </si>
  <si>
    <t xml:space="preserve">S-E 2010200299-01 </t>
  </si>
  <si>
    <t>7010400064-01</t>
  </si>
  <si>
    <t>7010400007-00</t>
  </si>
  <si>
    <t xml:space="preserve">S-E 9151375/2010200181 </t>
  </si>
  <si>
    <t>7020400018-00</t>
  </si>
  <si>
    <t>SE-2020100533-00 Brown cable 1.5mm²</t>
  </si>
  <si>
    <t>7020400019-00</t>
  </si>
  <si>
    <t>SE-2020100533-00 red cable 1.5mm²</t>
  </si>
  <si>
    <t>7010400005-00</t>
  </si>
  <si>
    <t>S-E 1414B/1494 /3063/20/ 72/54</t>
  </si>
  <si>
    <t>7010400006-00</t>
  </si>
  <si>
    <t>S-E 1414B/94A/2010200134 /179</t>
  </si>
  <si>
    <t>7010400008-00</t>
  </si>
  <si>
    <t>S-E 9151375/2010200181-0 0</t>
  </si>
  <si>
    <t>7010400009-00</t>
  </si>
  <si>
    <t>2020400398-02</t>
  </si>
  <si>
    <t xml:space="preserve">S-E 2010200298-00 </t>
  </si>
  <si>
    <t>2020400401-02</t>
  </si>
  <si>
    <t>2020400404-02</t>
  </si>
  <si>
    <t>7010400207-00</t>
  </si>
  <si>
    <t>SE 2020100440-00 Red wire 1.5mm²</t>
  </si>
  <si>
    <t>7010400208-00</t>
  </si>
  <si>
    <t>SE 2020100440-00 Brown wire 1.5mm²</t>
  </si>
  <si>
    <t>7010400019-00</t>
  </si>
  <si>
    <t>S-E 9167146D/9166949B/30 0031-2</t>
  </si>
  <si>
    <t>7010400028-00</t>
  </si>
  <si>
    <t xml:space="preserve">S-E 2010300084-00 </t>
  </si>
  <si>
    <t>7010400029-00</t>
  </si>
  <si>
    <t>7010400042-00</t>
  </si>
  <si>
    <t xml:space="preserve">S-E 2010200254 </t>
  </si>
  <si>
    <t>7010400030-00</t>
  </si>
  <si>
    <t>7010400020-00</t>
  </si>
  <si>
    <t xml:space="preserve">S-E 9167197A/9167302B </t>
  </si>
  <si>
    <t>7010400043-00</t>
  </si>
  <si>
    <t>7010400021-00</t>
  </si>
  <si>
    <t>7010400034-00</t>
  </si>
  <si>
    <t xml:space="preserve">S-E 201030012400 </t>
  </si>
  <si>
    <t>7010400013-00</t>
  </si>
  <si>
    <t>S-E 2010100031-00 202010 0011-0</t>
  </si>
  <si>
    <t>7010400014-00</t>
  </si>
  <si>
    <t>7010400035-00</t>
  </si>
  <si>
    <t>7010400033-00</t>
  </si>
  <si>
    <t xml:space="preserve">S-E 2010300124-00 </t>
  </si>
  <si>
    <t>7010400015-00</t>
  </si>
  <si>
    <t xml:space="preserve">S-E 2010100031-00 </t>
  </si>
  <si>
    <t>7010400151-00</t>
  </si>
  <si>
    <t xml:space="preserve">S-E 2010301037-00 </t>
  </si>
  <si>
    <t>7035400010-00</t>
  </si>
  <si>
    <t xml:space="preserve">S-E 1035300001/2/7 </t>
  </si>
  <si>
    <t>7010400048-00</t>
  </si>
  <si>
    <t xml:space="preserve">S-E 2010300498 </t>
  </si>
  <si>
    <t>7010400049-00</t>
  </si>
  <si>
    <t>7010400010-00</t>
  </si>
  <si>
    <t>S-E 3091/3130A/3133A/22- 0</t>
  </si>
  <si>
    <t>7010400011-00</t>
  </si>
  <si>
    <t>S-E 3091/3130A/3133A/002 36557</t>
  </si>
  <si>
    <t>7010400012-00</t>
  </si>
  <si>
    <t>S-E 9103091/3130A/910313 3A</t>
  </si>
  <si>
    <t>7010400115-00</t>
  </si>
  <si>
    <t xml:space="preserve">S-E 9166949B </t>
  </si>
  <si>
    <t>7020400021-00</t>
  </si>
  <si>
    <t>7010400197-00 322; FLRY-A-0,35 noir 188</t>
  </si>
  <si>
    <t>7020400023-00</t>
  </si>
  <si>
    <t xml:space="preserve">FLRY-A-0,35 bleu146 </t>
  </si>
  <si>
    <t>7020400024-00</t>
  </si>
  <si>
    <t xml:space="preserve">2010600068-00 309 </t>
  </si>
  <si>
    <t>7010400114-00</t>
  </si>
  <si>
    <t>7010400152-00</t>
  </si>
  <si>
    <t>7010400025-00</t>
  </si>
  <si>
    <t>S-E FERRARI 1508/1513/15 10</t>
  </si>
  <si>
    <t>7010400026-00</t>
  </si>
  <si>
    <t>7010400027-00</t>
  </si>
  <si>
    <t>7020400022-00</t>
  </si>
  <si>
    <t>FLRY-A-0,35 bleu188 FLRY-A-0,35 bleu155</t>
  </si>
  <si>
    <t>7010400150-00</t>
  </si>
  <si>
    <t>7010400111-00</t>
  </si>
  <si>
    <t>S-E 2010200402-00 Fil MR serti 1.5mm²+0.5</t>
  </si>
  <si>
    <t>7010400145-00</t>
  </si>
  <si>
    <t>SE-2010200402-00 Fil RG/GR serti 0.5 mm²</t>
  </si>
  <si>
    <t>7010400113-00</t>
  </si>
  <si>
    <t>S-E 2010200402-00 Fil RG/NR serti 1,5mm²</t>
  </si>
  <si>
    <t>7010401424-00</t>
  </si>
  <si>
    <t xml:space="preserve">S-E 9460074A </t>
  </si>
  <si>
    <t>7010400087-00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</si>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</sst>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0" fillId="2" borderId="6" xfId="0" applyFill="1" applyBorder="1"/>
    <xf numFmtId="0" fontId="0" fillId="0" borderId="6" xfId="0" applyBorder="1"/>
    <xf numFmtId="0" fontId="0" fillId="0" borderId="6" xfId="0" applyBorder="1" applyAlignment="1">
      <alignment vertical="center" wrapText="1"/>
    </xf>
    <xf numFmtId="164" fontId="0" fillId="2" borderId="6" xfId="1" applyNumberFormat="1" applyFont="1" applyFill="1" applyBorder="1"/>
    <xf numFmtId="166" fontId="0" fillId="0" borderId="6" xfId="1" applyNumberFormat="1" applyFont="1" applyBorder="1"/>
    <xf numFmtId="166" fontId="0" fillId="0" borderId="5" xfId="1" applyNumberFormat="1" applyFont="1" applyBorder="1" applyAlignment="1">
      <alignment horizontal="center"/>
    </xf>
    <xf numFmtId="166" fontId="0" fillId="0" borderId="6" xfId="1" applyNumberFormat="1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39" workbookViewId="0">
      <selection activeCell="H63" sqref="H63:I63"/>
    </sheetView>
  </sheetViews>
  <sheetFormatPr defaultRowHeight="14.4" x14ac:dyDescent="0.3"/>
  <cols>
    <col min="1" max="1" width="15.5546875" customWidth="1"/>
    <col min="2" max="2" width="16" customWidth="1"/>
    <col min="3" max="3" width="34.109375" customWidth="1"/>
    <col min="4" max="4" width="17.33203125" customWidth="1"/>
    <col min="5" max="5" width="16.5546875" customWidth="1"/>
    <col min="6" max="6" width="11.44140625" customWidth="1"/>
    <col min="7" max="7" width="11" customWidth="1"/>
    <col min="8" max="9" width="11.1093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8" t="s">
        <v>9</v>
      </c>
      <c r="B3" s="8">
        <v>7020400016</v>
      </c>
      <c r="C3" s="9" t="s">
        <v>10</v>
      </c>
      <c r="D3" s="9" t="s">
        <v>11</v>
      </c>
      <c r="E3" s="11">
        <v>400000.00000000058</v>
      </c>
      <c r="F3" s="12">
        <v>2.5899999999999999E-2</v>
      </c>
      <c r="G3" s="13">
        <v>3.0204579999999998E-2</v>
      </c>
      <c r="H3" s="6">
        <f>(E3*F3)</f>
        <v>10360.000000000015</v>
      </c>
      <c r="I3" s="7">
        <v>12081.832000000017</v>
      </c>
    </row>
    <row r="4" spans="1:9" x14ac:dyDescent="0.3">
      <c r="A4" s="8" t="s">
        <v>12</v>
      </c>
      <c r="B4" s="8">
        <v>7020400017</v>
      </c>
      <c r="C4" s="9" t="s">
        <v>10</v>
      </c>
      <c r="D4" s="9" t="s">
        <v>11</v>
      </c>
      <c r="E4" s="11">
        <v>400000.00000000058</v>
      </c>
      <c r="F4" s="12">
        <v>2.5899999999999999E-2</v>
      </c>
      <c r="G4" s="13">
        <v>3.0204579999999998E-2</v>
      </c>
      <c r="H4" s="6">
        <f t="shared" ref="H4:H62" si="0">(E4*F4)</f>
        <v>10360.000000000015</v>
      </c>
      <c r="I4" s="7">
        <v>12081.832000000017</v>
      </c>
    </row>
    <row r="5" spans="1:9" x14ac:dyDescent="0.3">
      <c r="A5" s="8" t="s">
        <v>13</v>
      </c>
      <c r="B5" s="8">
        <v>2020400397</v>
      </c>
      <c r="C5" s="9" t="s">
        <v>14</v>
      </c>
      <c r="D5" s="9" t="s">
        <v>11</v>
      </c>
      <c r="E5" s="11">
        <v>158180.00000000026</v>
      </c>
      <c r="F5" s="12">
        <v>5.6847055763200011E-2</v>
      </c>
      <c r="G5" s="13">
        <v>6.6295036431043841E-2</v>
      </c>
      <c r="H5" s="6">
        <f t="shared" si="0"/>
        <v>8992.0672806229923</v>
      </c>
      <c r="I5" s="7">
        <v>10486.548862662532</v>
      </c>
    </row>
    <row r="6" spans="1:9" x14ac:dyDescent="0.3">
      <c r="A6" s="8" t="s">
        <v>15</v>
      </c>
      <c r="B6" s="8">
        <v>2020400400</v>
      </c>
      <c r="C6" s="9" t="s">
        <v>14</v>
      </c>
      <c r="D6" s="9" t="s">
        <v>11</v>
      </c>
      <c r="E6" s="11">
        <v>158180.00000000026</v>
      </c>
      <c r="F6" s="12">
        <v>5.6847055763200011E-2</v>
      </c>
      <c r="G6" s="13">
        <v>6.6295036431043841E-2</v>
      </c>
      <c r="H6" s="6">
        <f t="shared" si="0"/>
        <v>8992.0672806229923</v>
      </c>
      <c r="I6" s="7">
        <v>10486.548862662532</v>
      </c>
    </row>
    <row r="7" spans="1:9" x14ac:dyDescent="0.3">
      <c r="A7" s="8" t="s">
        <v>16</v>
      </c>
      <c r="B7" s="8">
        <v>2020400403</v>
      </c>
      <c r="C7" s="9" t="s">
        <v>14</v>
      </c>
      <c r="D7" s="9" t="s">
        <v>11</v>
      </c>
      <c r="E7" s="11">
        <v>158180.00000000026</v>
      </c>
      <c r="F7" s="12">
        <v>5.66118817888E-2</v>
      </c>
      <c r="G7" s="13">
        <v>6.602077654209855E-2</v>
      </c>
      <c r="H7" s="6">
        <f t="shared" si="0"/>
        <v>8954.8674613523981</v>
      </c>
      <c r="I7" s="7">
        <v>10443.166433429165</v>
      </c>
    </row>
    <row r="8" spans="1:9" x14ac:dyDescent="0.3">
      <c r="A8" s="8" t="s">
        <v>17</v>
      </c>
      <c r="B8" s="8">
        <v>7020400014</v>
      </c>
      <c r="C8" s="9" t="s">
        <v>18</v>
      </c>
      <c r="D8" s="9" t="s">
        <v>11</v>
      </c>
      <c r="E8" s="11">
        <v>130000.00000000017</v>
      </c>
      <c r="F8" s="12">
        <v>6.5856793843200007E-2</v>
      </c>
      <c r="G8" s="13">
        <v>7.6802192979939843E-2</v>
      </c>
      <c r="H8" s="6">
        <f t="shared" si="0"/>
        <v>8561.3831996160116</v>
      </c>
      <c r="I8" s="7">
        <v>9984.2850873921925</v>
      </c>
    </row>
    <row r="9" spans="1:9" x14ac:dyDescent="0.3">
      <c r="A9" s="8" t="s">
        <v>19</v>
      </c>
      <c r="B9" s="8">
        <v>7020400015</v>
      </c>
      <c r="C9" s="9" t="s">
        <v>18</v>
      </c>
      <c r="D9" s="9" t="s">
        <v>11</v>
      </c>
      <c r="E9" s="11">
        <v>130000.00000000017</v>
      </c>
      <c r="F9" s="12">
        <v>6.5856793843200007E-2</v>
      </c>
      <c r="G9" s="13">
        <v>7.6802192979939843E-2</v>
      </c>
      <c r="H9" s="6">
        <f t="shared" si="0"/>
        <v>8561.3831996160116</v>
      </c>
      <c r="I9" s="7">
        <v>9984.2850873921925</v>
      </c>
    </row>
    <row r="10" spans="1:9" x14ac:dyDescent="0.3">
      <c r="A10" s="8" t="s">
        <v>20</v>
      </c>
      <c r="B10" s="8">
        <v>7010400004</v>
      </c>
      <c r="C10" s="9" t="s">
        <v>21</v>
      </c>
      <c r="D10" s="9" t="s">
        <v>11</v>
      </c>
      <c r="E10" s="11">
        <v>72579.400000000096</v>
      </c>
      <c r="F10" s="12">
        <v>6.3750232559999995E-2</v>
      </c>
      <c r="G10" s="13">
        <v>7.434552121147199E-2</v>
      </c>
      <c r="H10" s="6">
        <f t="shared" si="0"/>
        <v>4626.9536290652695</v>
      </c>
      <c r="I10" s="7">
        <v>5395.9533222159171</v>
      </c>
    </row>
    <row r="11" spans="1:9" x14ac:dyDescent="0.3">
      <c r="A11" s="8" t="s">
        <v>22</v>
      </c>
      <c r="B11" s="8">
        <v>2020400399</v>
      </c>
      <c r="C11" s="9" t="s">
        <v>23</v>
      </c>
      <c r="D11" s="9" t="s">
        <v>11</v>
      </c>
      <c r="E11" s="11">
        <v>80000.000000000116</v>
      </c>
      <c r="F11" s="12">
        <v>5.6847055763200011E-2</v>
      </c>
      <c r="G11" s="13">
        <v>6.6295036431043841E-2</v>
      </c>
      <c r="H11" s="6">
        <f t="shared" si="0"/>
        <v>4547.7644610560073</v>
      </c>
      <c r="I11" s="7">
        <v>5303.6029144835147</v>
      </c>
    </row>
    <row r="12" spans="1:9" x14ac:dyDescent="0.3">
      <c r="A12" s="8" t="s">
        <v>24</v>
      </c>
      <c r="B12" s="8">
        <v>7010400061</v>
      </c>
      <c r="C12" s="9" t="s">
        <v>25</v>
      </c>
      <c r="D12" s="9" t="s">
        <v>11</v>
      </c>
      <c r="E12" s="11">
        <v>80000.000000000116</v>
      </c>
      <c r="F12" s="12">
        <v>5.6847055763200011E-2</v>
      </c>
      <c r="G12" s="14">
        <v>6.6295036431043841E-2</v>
      </c>
      <c r="H12" s="6">
        <f t="shared" si="0"/>
        <v>4547.7644610560073</v>
      </c>
      <c r="I12" s="7">
        <v>5303.6029144835147</v>
      </c>
    </row>
    <row r="13" spans="1:9" x14ac:dyDescent="0.3">
      <c r="A13" s="8" t="s">
        <v>26</v>
      </c>
      <c r="B13" s="8">
        <v>7010400064</v>
      </c>
      <c r="C13" s="9" t="s">
        <v>25</v>
      </c>
      <c r="D13" s="9" t="s">
        <v>11</v>
      </c>
      <c r="E13" s="11">
        <v>80000.000000000116</v>
      </c>
      <c r="F13" s="12">
        <v>5.66118817888E-2</v>
      </c>
      <c r="G13" s="14">
        <v>6.602077654209855E-2</v>
      </c>
      <c r="H13" s="6">
        <f t="shared" si="0"/>
        <v>4528.950543104007</v>
      </c>
      <c r="I13" s="7">
        <v>5281.6621233678916</v>
      </c>
    </row>
    <row r="14" spans="1:9" x14ac:dyDescent="0.3">
      <c r="A14" s="8" t="s">
        <v>27</v>
      </c>
      <c r="B14" s="8">
        <v>7010400007</v>
      </c>
      <c r="C14" s="9" t="s">
        <v>28</v>
      </c>
      <c r="D14" s="9" t="s">
        <v>11</v>
      </c>
      <c r="E14" s="11">
        <v>68499</v>
      </c>
      <c r="F14" s="12">
        <v>6.3750232559999995E-2</v>
      </c>
      <c r="G14" s="14">
        <v>7.434552121147199E-2</v>
      </c>
      <c r="H14" s="6">
        <f t="shared" si="0"/>
        <v>4366.8271801274395</v>
      </c>
      <c r="I14" s="7">
        <v>5092.5938574646198</v>
      </c>
    </row>
    <row r="15" spans="1:9" x14ac:dyDescent="0.3">
      <c r="A15" s="8" t="s">
        <v>29</v>
      </c>
      <c r="B15" s="8">
        <v>7020400018</v>
      </c>
      <c r="C15" s="9" t="s">
        <v>30</v>
      </c>
      <c r="D15" s="9" t="s">
        <v>11</v>
      </c>
      <c r="E15" s="11">
        <v>50000.000000000073</v>
      </c>
      <c r="F15" s="12">
        <v>8.6400000000000005E-2</v>
      </c>
      <c r="G15" s="13">
        <v>0.10075967999999999</v>
      </c>
      <c r="H15" s="6">
        <f t="shared" si="0"/>
        <v>4320.0000000000064</v>
      </c>
      <c r="I15" s="7">
        <v>5037.9840000000067</v>
      </c>
    </row>
    <row r="16" spans="1:9" x14ac:dyDescent="0.3">
      <c r="A16" s="8" t="s">
        <v>31</v>
      </c>
      <c r="B16" s="8">
        <v>7020400019</v>
      </c>
      <c r="C16" s="9" t="s">
        <v>32</v>
      </c>
      <c r="D16" s="9" t="s">
        <v>11</v>
      </c>
      <c r="E16" s="11">
        <v>50000.000000000073</v>
      </c>
      <c r="F16" s="12">
        <v>8.6400000000000005E-2</v>
      </c>
      <c r="G16" s="13">
        <v>0.10075967999999999</v>
      </c>
      <c r="H16" s="6">
        <f t="shared" si="0"/>
        <v>4320.0000000000064</v>
      </c>
      <c r="I16" s="7">
        <v>5037.9840000000067</v>
      </c>
    </row>
    <row r="17" spans="1:9" x14ac:dyDescent="0.3">
      <c r="A17" s="8" t="s">
        <v>33</v>
      </c>
      <c r="B17" s="8">
        <v>7010400005</v>
      </c>
      <c r="C17" s="9" t="s">
        <v>34</v>
      </c>
      <c r="D17" s="9" t="s">
        <v>11</v>
      </c>
      <c r="E17" s="11">
        <v>72579.400000000096</v>
      </c>
      <c r="F17" s="12">
        <v>5.3260923187200007E-2</v>
      </c>
      <c r="G17" s="13">
        <v>6.2112888620912646E-2</v>
      </c>
      <c r="H17" s="6">
        <f t="shared" si="0"/>
        <v>3865.6458483730694</v>
      </c>
      <c r="I17" s="7">
        <v>4508.1161883726736</v>
      </c>
    </row>
    <row r="18" spans="1:9" x14ac:dyDescent="0.3">
      <c r="A18" s="8" t="s">
        <v>35</v>
      </c>
      <c r="B18" s="8">
        <v>7010400006</v>
      </c>
      <c r="C18" s="9" t="s">
        <v>36</v>
      </c>
      <c r="D18" s="9" t="s">
        <v>11</v>
      </c>
      <c r="E18" s="11">
        <v>72579.400000000096</v>
      </c>
      <c r="F18" s="12">
        <v>5.3260923187200007E-2</v>
      </c>
      <c r="G18" s="14">
        <v>6.2112888620912646E-2</v>
      </c>
      <c r="H18" s="6">
        <f t="shared" si="0"/>
        <v>3865.6458483730694</v>
      </c>
      <c r="I18" s="7">
        <v>4508.1161883726736</v>
      </c>
    </row>
    <row r="19" spans="1:9" x14ac:dyDescent="0.3">
      <c r="A19" s="9" t="s">
        <v>37</v>
      </c>
      <c r="B19" s="9">
        <v>7010400008</v>
      </c>
      <c r="C19" s="9" t="s">
        <v>38</v>
      </c>
      <c r="D19" s="10" t="s">
        <v>11</v>
      </c>
      <c r="E19" s="11">
        <v>68499</v>
      </c>
      <c r="F19" s="12">
        <v>5.3260923187200007E-2</v>
      </c>
      <c r="G19" s="14">
        <v>6.2112888620912646E-2</v>
      </c>
      <c r="H19" s="6">
        <f t="shared" si="0"/>
        <v>3648.3199774000132</v>
      </c>
      <c r="I19" s="7">
        <v>4254.6707576438957</v>
      </c>
    </row>
    <row r="20" spans="1:9" x14ac:dyDescent="0.3">
      <c r="A20" s="8" t="s">
        <v>39</v>
      </c>
      <c r="B20" s="8">
        <v>7010400009</v>
      </c>
      <c r="C20" s="9" t="s">
        <v>38</v>
      </c>
      <c r="D20" s="9" t="s">
        <v>11</v>
      </c>
      <c r="E20" s="11">
        <v>68499</v>
      </c>
      <c r="F20" s="12">
        <v>5.3260923187200007E-2</v>
      </c>
      <c r="G20" s="14">
        <v>6.2112888620912646E-2</v>
      </c>
      <c r="H20" s="6">
        <f t="shared" si="0"/>
        <v>3648.3199774000132</v>
      </c>
      <c r="I20" s="7">
        <v>4254.6707576438957</v>
      </c>
    </row>
    <row r="21" spans="1:9" x14ac:dyDescent="0.3">
      <c r="A21" s="8" t="s">
        <v>40</v>
      </c>
      <c r="B21" s="8">
        <v>2020400398</v>
      </c>
      <c r="C21" s="9" t="s">
        <v>41</v>
      </c>
      <c r="D21" s="9" t="s">
        <v>11</v>
      </c>
      <c r="E21" s="11">
        <v>30808.000000000044</v>
      </c>
      <c r="F21" s="12">
        <v>5.6847055763200011E-2</v>
      </c>
      <c r="G21" s="13">
        <v>6.6295036431043841E-2</v>
      </c>
      <c r="H21" s="6">
        <f t="shared" si="0"/>
        <v>1751.3440939526683</v>
      </c>
      <c r="I21" s="7">
        <v>2042.4174823676015</v>
      </c>
    </row>
    <row r="22" spans="1:9" x14ac:dyDescent="0.3">
      <c r="A22" s="8" t="s">
        <v>42</v>
      </c>
      <c r="B22" s="8">
        <v>2020400401</v>
      </c>
      <c r="C22" s="9" t="s">
        <v>41</v>
      </c>
      <c r="D22" s="9" t="s">
        <v>11</v>
      </c>
      <c r="E22" s="11">
        <v>30808.000000000044</v>
      </c>
      <c r="F22" s="12">
        <v>5.6847055763200011E-2</v>
      </c>
      <c r="G22" s="14">
        <v>6.6295036431043841E-2</v>
      </c>
      <c r="H22" s="6">
        <f t="shared" si="0"/>
        <v>1751.3440939526683</v>
      </c>
      <c r="I22" s="7">
        <v>2042.4174823676015</v>
      </c>
    </row>
    <row r="23" spans="1:9" x14ac:dyDescent="0.3">
      <c r="A23" s="8" t="s">
        <v>43</v>
      </c>
      <c r="B23" s="8">
        <v>2020400404</v>
      </c>
      <c r="C23" s="9" t="s">
        <v>41</v>
      </c>
      <c r="D23" s="9" t="s">
        <v>11</v>
      </c>
      <c r="E23" s="11">
        <v>30808.000000000044</v>
      </c>
      <c r="F23" s="12">
        <v>5.66118817888E-2</v>
      </c>
      <c r="G23" s="14">
        <v>6.602077654209855E-2</v>
      </c>
      <c r="H23" s="6">
        <f t="shared" si="0"/>
        <v>1744.098854149353</v>
      </c>
      <c r="I23" s="7">
        <v>2033.968083708975</v>
      </c>
    </row>
    <row r="24" spans="1:9" x14ac:dyDescent="0.3">
      <c r="A24" s="8" t="s">
        <v>44</v>
      </c>
      <c r="B24" s="8">
        <v>7010400207</v>
      </c>
      <c r="C24" s="9" t="s">
        <v>45</v>
      </c>
      <c r="D24" s="9" t="s">
        <v>11</v>
      </c>
      <c r="E24" s="11">
        <v>40000.000000000058</v>
      </c>
      <c r="F24" s="12">
        <v>2.5899999999999999E-2</v>
      </c>
      <c r="G24" s="14">
        <v>3.0204579999999998E-2</v>
      </c>
      <c r="H24" s="6">
        <f t="shared" si="0"/>
        <v>1036.0000000000016</v>
      </c>
      <c r="I24" s="7">
        <v>1208.1832000000018</v>
      </c>
    </row>
    <row r="25" spans="1:9" x14ac:dyDescent="0.3">
      <c r="A25" s="8" t="s">
        <v>46</v>
      </c>
      <c r="B25" s="8">
        <v>7010400208</v>
      </c>
      <c r="C25" s="9" t="s">
        <v>47</v>
      </c>
      <c r="D25" s="9" t="s">
        <v>11</v>
      </c>
      <c r="E25" s="11">
        <v>40000.000000000058</v>
      </c>
      <c r="F25" s="12">
        <v>2.5899999999999999E-2</v>
      </c>
      <c r="G25" s="13">
        <v>3.0204579999999998E-2</v>
      </c>
      <c r="H25" s="6">
        <f t="shared" si="0"/>
        <v>1036.0000000000016</v>
      </c>
      <c r="I25" s="7">
        <v>1208.1832000000018</v>
      </c>
    </row>
    <row r="26" spans="1:9" x14ac:dyDescent="0.3">
      <c r="A26" s="9" t="s">
        <v>48</v>
      </c>
      <c r="B26" s="9">
        <v>7010400019</v>
      </c>
      <c r="C26" s="9" t="s">
        <v>49</v>
      </c>
      <c r="D26" s="9" t="s">
        <v>11</v>
      </c>
      <c r="E26" s="11">
        <v>6605.0000000000091</v>
      </c>
      <c r="F26" s="12">
        <v>6.5899620622400013E-2</v>
      </c>
      <c r="G26" s="13">
        <v>7.6852137569842882E-2</v>
      </c>
      <c r="H26" s="6">
        <f t="shared" si="0"/>
        <v>435.2669942109527</v>
      </c>
      <c r="I26" s="7">
        <v>507.60836864881293</v>
      </c>
    </row>
    <row r="27" spans="1:9" x14ac:dyDescent="0.3">
      <c r="A27" s="9" t="s">
        <v>50</v>
      </c>
      <c r="B27" s="9">
        <v>7010400028</v>
      </c>
      <c r="C27" s="9" t="s">
        <v>51</v>
      </c>
      <c r="D27" s="9" t="s">
        <v>11</v>
      </c>
      <c r="E27" s="11">
        <v>6005.0000000000082</v>
      </c>
      <c r="F27" s="12">
        <v>6.7971989662400006E-2</v>
      </c>
      <c r="G27" s="14">
        <v>7.9268934344290887E-2</v>
      </c>
      <c r="H27" s="6">
        <f t="shared" si="0"/>
        <v>408.17179792271259</v>
      </c>
      <c r="I27" s="7">
        <v>476.00995073746742</v>
      </c>
    </row>
    <row r="28" spans="1:9" x14ac:dyDescent="0.3">
      <c r="A28" s="9" t="s">
        <v>52</v>
      </c>
      <c r="B28" s="9">
        <v>7010400029</v>
      </c>
      <c r="C28" s="9" t="s">
        <v>51</v>
      </c>
      <c r="D28" s="9" t="s">
        <v>11</v>
      </c>
      <c r="E28" s="11">
        <v>6005.0000000000082</v>
      </c>
      <c r="F28" s="12">
        <v>5.74E-2</v>
      </c>
      <c r="G28" s="13">
        <v>6.6939879999999993E-2</v>
      </c>
      <c r="H28" s="6">
        <f t="shared" si="0"/>
        <v>344.68700000000047</v>
      </c>
      <c r="I28" s="7">
        <v>401.97397940000053</v>
      </c>
    </row>
    <row r="29" spans="1:9" x14ac:dyDescent="0.3">
      <c r="A29" s="9" t="s">
        <v>53</v>
      </c>
      <c r="B29" s="9">
        <v>7010400042</v>
      </c>
      <c r="C29" s="9" t="s">
        <v>54</v>
      </c>
      <c r="D29" s="9" t="s">
        <v>11</v>
      </c>
      <c r="E29" s="11">
        <v>2000.0000000000027</v>
      </c>
      <c r="F29" s="12">
        <v>9.4421989662400008E-2</v>
      </c>
      <c r="G29" s="14">
        <v>0.11011492434429088</v>
      </c>
      <c r="H29" s="6">
        <f t="shared" si="0"/>
        <v>188.84397932480027</v>
      </c>
      <c r="I29" s="7">
        <v>220.22984868858205</v>
      </c>
    </row>
    <row r="30" spans="1:9" x14ac:dyDescent="0.3">
      <c r="A30" s="9" t="s">
        <v>55</v>
      </c>
      <c r="B30" s="9">
        <v>7010400030</v>
      </c>
      <c r="C30" s="9" t="s">
        <v>54</v>
      </c>
      <c r="D30" s="9" t="s">
        <v>11</v>
      </c>
      <c r="E30" s="11">
        <v>2000.0000000000027</v>
      </c>
      <c r="F30" s="12">
        <v>7.5851068630400004E-2</v>
      </c>
      <c r="G30" s="13">
        <v>8.8457516236772477E-2</v>
      </c>
      <c r="H30" s="6">
        <f t="shared" si="0"/>
        <v>151.70213726080021</v>
      </c>
      <c r="I30" s="7">
        <v>176.91503247354518</v>
      </c>
    </row>
    <row r="31" spans="1:9" x14ac:dyDescent="0.3">
      <c r="A31" s="9" t="s">
        <v>56</v>
      </c>
      <c r="B31" s="9">
        <v>7010400020</v>
      </c>
      <c r="C31" s="9" t="s">
        <v>57</v>
      </c>
      <c r="D31" s="9" t="s">
        <v>11</v>
      </c>
      <c r="E31" s="11">
        <v>1750.0000000000023</v>
      </c>
      <c r="F31" s="12">
        <v>6.8899620622400015E-2</v>
      </c>
      <c r="G31" s="13">
        <v>8.0350737569842887E-2</v>
      </c>
      <c r="H31" s="6">
        <f t="shared" si="0"/>
        <v>120.57433608920019</v>
      </c>
      <c r="I31" s="7">
        <v>140.61379074722524</v>
      </c>
    </row>
    <row r="32" spans="1:9" x14ac:dyDescent="0.3">
      <c r="A32" s="9" t="s">
        <v>58</v>
      </c>
      <c r="B32" s="9">
        <v>7010400043</v>
      </c>
      <c r="C32" s="9" t="s">
        <v>54</v>
      </c>
      <c r="D32" s="9" t="s">
        <v>11</v>
      </c>
      <c r="E32" s="11">
        <v>2000.0000000000027</v>
      </c>
      <c r="F32" s="12">
        <v>6.0199999999999997E-2</v>
      </c>
      <c r="G32" s="13">
        <v>7.0205239999999988E-2</v>
      </c>
      <c r="H32" s="6">
        <f t="shared" si="0"/>
        <v>120.40000000000016</v>
      </c>
      <c r="I32" s="7">
        <v>140.41048000000018</v>
      </c>
    </row>
    <row r="33" spans="1:9" x14ac:dyDescent="0.3">
      <c r="A33" s="9" t="s">
        <v>59</v>
      </c>
      <c r="B33" s="9">
        <v>7010400021</v>
      </c>
      <c r="C33" s="9" t="s">
        <v>57</v>
      </c>
      <c r="D33" s="9" t="s">
        <v>11</v>
      </c>
      <c r="E33" s="11">
        <v>1750.0000000000023</v>
      </c>
      <c r="F33" s="12">
        <v>6.5899620622400013E-2</v>
      </c>
      <c r="G33" s="13">
        <v>7.6852137569842882E-2</v>
      </c>
      <c r="H33" s="6">
        <f t="shared" si="0"/>
        <v>115.32433608920017</v>
      </c>
      <c r="I33" s="7">
        <v>134.49124074722522</v>
      </c>
    </row>
    <row r="34" spans="1:9" x14ac:dyDescent="0.3">
      <c r="A34" s="9" t="s">
        <v>60</v>
      </c>
      <c r="B34" s="9">
        <v>7010400034</v>
      </c>
      <c r="C34" s="9" t="s">
        <v>61</v>
      </c>
      <c r="D34" s="9" t="s">
        <v>11</v>
      </c>
      <c r="E34" s="11">
        <v>1304.0000000000018</v>
      </c>
      <c r="F34" s="12">
        <v>8.2046989662400011E-2</v>
      </c>
      <c r="G34" s="14">
        <v>9.5683199344290884E-2</v>
      </c>
      <c r="H34" s="6">
        <f t="shared" si="0"/>
        <v>106.98927451976976</v>
      </c>
      <c r="I34" s="7">
        <v>124.77089194495548</v>
      </c>
    </row>
    <row r="35" spans="1:9" x14ac:dyDescent="0.3">
      <c r="A35" s="9" t="s">
        <v>62</v>
      </c>
      <c r="B35" s="9">
        <v>7010400013</v>
      </c>
      <c r="C35" s="9" t="s">
        <v>63</v>
      </c>
      <c r="D35" s="9" t="s">
        <v>11</v>
      </c>
      <c r="E35" s="11">
        <v>900.00000000000136</v>
      </c>
      <c r="F35" s="12">
        <v>0.11436696086880001</v>
      </c>
      <c r="G35" s="13">
        <v>0.13337474976519456</v>
      </c>
      <c r="H35" s="6">
        <f t="shared" si="0"/>
        <v>102.93026478192016</v>
      </c>
      <c r="I35" s="7">
        <v>120.03727478867529</v>
      </c>
    </row>
    <row r="36" spans="1:9" x14ac:dyDescent="0.3">
      <c r="A36" s="9" t="s">
        <v>64</v>
      </c>
      <c r="B36" s="9">
        <v>7010400014</v>
      </c>
      <c r="C36" s="9" t="s">
        <v>63</v>
      </c>
      <c r="D36" s="9" t="s">
        <v>11</v>
      </c>
      <c r="E36" s="11">
        <v>900.00000000000136</v>
      </c>
      <c r="F36" s="12">
        <v>0.11436696086880001</v>
      </c>
      <c r="G36" s="13">
        <v>0.13337474976519456</v>
      </c>
      <c r="H36" s="6">
        <f t="shared" si="0"/>
        <v>102.93026478192016</v>
      </c>
      <c r="I36" s="7">
        <v>120.03727478867529</v>
      </c>
    </row>
    <row r="37" spans="1:9" x14ac:dyDescent="0.3">
      <c r="A37" s="9" t="s">
        <v>65</v>
      </c>
      <c r="B37" s="9">
        <v>7010400035</v>
      </c>
      <c r="C37" s="9" t="s">
        <v>61</v>
      </c>
      <c r="D37" s="9" t="s">
        <v>11</v>
      </c>
      <c r="E37" s="11">
        <v>1304.0000000000018</v>
      </c>
      <c r="F37" s="12">
        <v>5.8399620622400013E-2</v>
      </c>
      <c r="G37" s="14">
        <v>6.8105637569842892E-2</v>
      </c>
      <c r="H37" s="6">
        <f t="shared" si="0"/>
        <v>76.15310529160972</v>
      </c>
      <c r="I37" s="7">
        <v>88.809751391075253</v>
      </c>
    </row>
    <row r="38" spans="1:9" x14ac:dyDescent="0.3">
      <c r="A38" s="9" t="s">
        <v>66</v>
      </c>
      <c r="B38" s="9">
        <v>7010400033</v>
      </c>
      <c r="C38" s="9" t="s">
        <v>67</v>
      </c>
      <c r="D38" s="9" t="s">
        <v>11</v>
      </c>
      <c r="E38" s="11">
        <v>1304.0000000000018</v>
      </c>
      <c r="F38" s="12">
        <v>5.8000000000000003E-2</v>
      </c>
      <c r="G38" s="13">
        <v>6.7639599999999994E-2</v>
      </c>
      <c r="H38" s="6">
        <f t="shared" si="0"/>
        <v>75.632000000000104</v>
      </c>
      <c r="I38" s="7">
        <v>88.20203840000012</v>
      </c>
    </row>
    <row r="39" spans="1:9" x14ac:dyDescent="0.3">
      <c r="A39" s="9" t="s">
        <v>68</v>
      </c>
      <c r="B39" s="9">
        <v>7010400015</v>
      </c>
      <c r="C39" s="9" t="s">
        <v>69</v>
      </c>
      <c r="D39" s="9" t="s">
        <v>11</v>
      </c>
      <c r="E39" s="11">
        <v>600.0000000000008</v>
      </c>
      <c r="F39" s="12">
        <v>0.10241022090720002</v>
      </c>
      <c r="G39" s="14">
        <v>0.11943079962197665</v>
      </c>
      <c r="H39" s="6">
        <f t="shared" si="0"/>
        <v>61.446132544320093</v>
      </c>
      <c r="I39" s="7">
        <v>71.658479773186087</v>
      </c>
    </row>
    <row r="40" spans="1:9" x14ac:dyDescent="0.3">
      <c r="A40" s="9" t="s">
        <v>70</v>
      </c>
      <c r="B40" s="9">
        <v>7010400151</v>
      </c>
      <c r="C40" s="9" t="s">
        <v>71</v>
      </c>
      <c r="D40" s="9" t="s">
        <v>11</v>
      </c>
      <c r="E40" s="11">
        <v>50.000000000000064</v>
      </c>
      <c r="F40" s="12">
        <v>1.0783</v>
      </c>
      <c r="G40" s="13">
        <v>1.25751346</v>
      </c>
      <c r="H40" s="6">
        <f t="shared" si="0"/>
        <v>53.91500000000007</v>
      </c>
      <c r="I40" s="7">
        <v>62.875673000000077</v>
      </c>
    </row>
    <row r="41" spans="1:9" x14ac:dyDescent="0.3">
      <c r="A41" s="8" t="s">
        <v>72</v>
      </c>
      <c r="B41" s="8">
        <v>7035400010</v>
      </c>
      <c r="C41" s="9" t="s">
        <v>73</v>
      </c>
      <c r="D41" s="9" t="s">
        <v>11</v>
      </c>
      <c r="E41" s="11">
        <v>19400</v>
      </c>
      <c r="F41" s="12">
        <v>2.5999999999999999E-3</v>
      </c>
      <c r="G41" s="13">
        <v>3.0321199999999997E-3</v>
      </c>
      <c r="H41" s="6">
        <f t="shared" si="0"/>
        <v>50.44</v>
      </c>
      <c r="I41" s="7">
        <v>58.823127999999997</v>
      </c>
    </row>
    <row r="42" spans="1:9" x14ac:dyDescent="0.3">
      <c r="A42" s="9" t="s">
        <v>74</v>
      </c>
      <c r="B42" s="9">
        <v>7010400048</v>
      </c>
      <c r="C42" s="9" t="s">
        <v>75</v>
      </c>
      <c r="D42" s="9" t="s">
        <v>11</v>
      </c>
      <c r="E42" s="11">
        <v>3000.0000000000045</v>
      </c>
      <c r="F42" s="12">
        <v>1.52E-2</v>
      </c>
      <c r="G42" s="13">
        <v>1.7726239999999997E-2</v>
      </c>
      <c r="H42" s="6">
        <f t="shared" si="0"/>
        <v>45.600000000000072</v>
      </c>
      <c r="I42" s="7">
        <v>53.178720000000069</v>
      </c>
    </row>
    <row r="43" spans="1:9" x14ac:dyDescent="0.3">
      <c r="A43" s="9" t="s">
        <v>76</v>
      </c>
      <c r="B43" s="9">
        <v>7010400049</v>
      </c>
      <c r="C43" s="9" t="s">
        <v>75</v>
      </c>
      <c r="D43" s="9" t="s">
        <v>11</v>
      </c>
      <c r="E43" s="11">
        <v>3000.0000000000045</v>
      </c>
      <c r="F43" s="12">
        <v>1.52E-2</v>
      </c>
      <c r="G43" s="13">
        <v>1.7726239999999997E-2</v>
      </c>
      <c r="H43" s="6">
        <f t="shared" si="0"/>
        <v>45.600000000000072</v>
      </c>
      <c r="I43" s="7">
        <v>53.178720000000069</v>
      </c>
    </row>
    <row r="44" spans="1:9" x14ac:dyDescent="0.3">
      <c r="A44" s="9" t="s">
        <v>77</v>
      </c>
      <c r="B44" s="9">
        <v>7010400010</v>
      </c>
      <c r="C44" s="9" t="s">
        <v>78</v>
      </c>
      <c r="D44" s="9" t="s">
        <v>11</v>
      </c>
      <c r="E44" s="11">
        <v>400.00000000000051</v>
      </c>
      <c r="F44" s="12">
        <v>0.1016</v>
      </c>
      <c r="G44" s="13">
        <v>0.11848591999999998</v>
      </c>
      <c r="H44" s="6">
        <f t="shared" si="0"/>
        <v>40.64000000000005</v>
      </c>
      <c r="I44" s="7">
        <v>47.39436800000005</v>
      </c>
    </row>
    <row r="45" spans="1:9" x14ac:dyDescent="0.3">
      <c r="A45" s="9" t="s">
        <v>79</v>
      </c>
      <c r="B45" s="9">
        <v>7010400011</v>
      </c>
      <c r="C45" s="9" t="s">
        <v>80</v>
      </c>
      <c r="D45" s="9" t="s">
        <v>11</v>
      </c>
      <c r="E45" s="11">
        <v>400.00000000000051</v>
      </c>
      <c r="F45" s="12">
        <v>0.1016</v>
      </c>
      <c r="G45" s="14">
        <v>0.11848591999999998</v>
      </c>
      <c r="H45" s="6">
        <f t="shared" si="0"/>
        <v>40.64000000000005</v>
      </c>
      <c r="I45" s="7">
        <v>47.39436800000005</v>
      </c>
    </row>
    <row r="46" spans="1:9" x14ac:dyDescent="0.3">
      <c r="A46" s="9" t="s">
        <v>81</v>
      </c>
      <c r="B46" s="9">
        <v>7010400012</v>
      </c>
      <c r="C46" s="9" t="s">
        <v>82</v>
      </c>
      <c r="D46" s="9" t="s">
        <v>11</v>
      </c>
      <c r="E46" s="11">
        <v>400.00000000000051</v>
      </c>
      <c r="F46" s="12">
        <v>9.0499999999999997E-2</v>
      </c>
      <c r="G46" s="13">
        <v>0.10554109999999998</v>
      </c>
      <c r="H46" s="6">
        <f t="shared" si="0"/>
        <v>36.200000000000045</v>
      </c>
      <c r="I46" s="7">
        <v>42.216440000000048</v>
      </c>
    </row>
    <row r="47" spans="1:9" x14ac:dyDescent="0.3">
      <c r="A47" s="9" t="s">
        <v>83</v>
      </c>
      <c r="B47" s="9">
        <v>7010400115</v>
      </c>
      <c r="C47" s="9" t="s">
        <v>84</v>
      </c>
      <c r="D47" s="9" t="s">
        <v>11</v>
      </c>
      <c r="E47" s="11">
        <v>600.0000000000008</v>
      </c>
      <c r="F47" s="12">
        <v>5.8799999999999998E-2</v>
      </c>
      <c r="G47" s="13">
        <v>6.8572559999999991E-2</v>
      </c>
      <c r="H47" s="6">
        <f t="shared" si="0"/>
        <v>35.280000000000044</v>
      </c>
      <c r="I47" s="7">
        <v>41.143536000000047</v>
      </c>
    </row>
    <row r="48" spans="1:9" x14ac:dyDescent="0.3">
      <c r="A48" s="9" t="s">
        <v>85</v>
      </c>
      <c r="B48" s="9">
        <v>7020400021</v>
      </c>
      <c r="C48" s="9" t="s">
        <v>86</v>
      </c>
      <c r="D48" s="9" t="s">
        <v>11</v>
      </c>
      <c r="E48" s="11">
        <v>100.00000000000013</v>
      </c>
      <c r="F48" s="12">
        <v>0.33579999999999999</v>
      </c>
      <c r="G48" s="14">
        <v>0.39160995999999998</v>
      </c>
      <c r="H48" s="6">
        <f t="shared" si="0"/>
        <v>33.580000000000041</v>
      </c>
      <c r="I48" s="7">
        <v>39.160996000000047</v>
      </c>
    </row>
    <row r="49" spans="1:9" x14ac:dyDescent="0.3">
      <c r="A49" s="9" t="s">
        <v>87</v>
      </c>
      <c r="B49" s="9">
        <v>7020400023</v>
      </c>
      <c r="C49" s="9" t="s">
        <v>88</v>
      </c>
      <c r="D49" s="9" t="s">
        <v>11</v>
      </c>
      <c r="E49" s="11">
        <v>100.00000000000013</v>
      </c>
      <c r="F49" s="12">
        <v>0.31090000000000001</v>
      </c>
      <c r="G49" s="13">
        <v>0.36257158</v>
      </c>
      <c r="H49" s="6">
        <f t="shared" si="0"/>
        <v>31.090000000000042</v>
      </c>
      <c r="I49" s="7">
        <v>36.257158000000047</v>
      </c>
    </row>
    <row r="50" spans="1:9" x14ac:dyDescent="0.3">
      <c r="A50" s="9" t="s">
        <v>89</v>
      </c>
      <c r="B50" s="9">
        <v>7020400024</v>
      </c>
      <c r="C50" s="9" t="s">
        <v>90</v>
      </c>
      <c r="D50" s="9" t="s">
        <v>11</v>
      </c>
      <c r="E50" s="11">
        <v>100.00000000000013</v>
      </c>
      <c r="F50" s="12">
        <v>0.24030000000000001</v>
      </c>
      <c r="G50" s="14">
        <v>0.28023786000000001</v>
      </c>
      <c r="H50" s="6">
        <f t="shared" si="0"/>
        <v>24.030000000000033</v>
      </c>
      <c r="I50" s="7">
        <v>28.023786000000037</v>
      </c>
    </row>
    <row r="51" spans="1:9" x14ac:dyDescent="0.3">
      <c r="A51" s="9" t="s">
        <v>91</v>
      </c>
      <c r="B51" s="9">
        <v>7010400114</v>
      </c>
      <c r="C51" s="9" t="s">
        <v>84</v>
      </c>
      <c r="D51" s="9" t="s">
        <v>11</v>
      </c>
      <c r="E51" s="11">
        <v>600.0000000000008</v>
      </c>
      <c r="F51" s="12">
        <v>3.9399999999999998E-2</v>
      </c>
      <c r="G51" s="14">
        <v>4.5948279999999994E-2</v>
      </c>
      <c r="H51" s="6">
        <f t="shared" si="0"/>
        <v>23.640000000000029</v>
      </c>
      <c r="I51" s="7">
        <v>27.568968000000034</v>
      </c>
    </row>
    <row r="52" spans="1:9" x14ac:dyDescent="0.3">
      <c r="A52" s="9" t="s">
        <v>92</v>
      </c>
      <c r="B52" s="9">
        <v>7010400152</v>
      </c>
      <c r="C52" s="9" t="s">
        <v>71</v>
      </c>
      <c r="D52" s="9" t="s">
        <v>11</v>
      </c>
      <c r="E52" s="11">
        <v>50.000000000000064</v>
      </c>
      <c r="F52" s="12">
        <v>0.34699999999999998</v>
      </c>
      <c r="G52" s="14">
        <v>0.40467139999999996</v>
      </c>
      <c r="H52" s="6">
        <f t="shared" si="0"/>
        <v>17.350000000000019</v>
      </c>
      <c r="I52" s="7">
        <v>20.233570000000025</v>
      </c>
    </row>
    <row r="53" spans="1:9" x14ac:dyDescent="0.3">
      <c r="A53" s="9" t="s">
        <v>93</v>
      </c>
      <c r="B53" s="9">
        <v>7010400025</v>
      </c>
      <c r="C53" s="9" t="s">
        <v>94</v>
      </c>
      <c r="D53" s="9" t="s">
        <v>11</v>
      </c>
      <c r="E53" s="11">
        <v>2011</v>
      </c>
      <c r="F53" s="12">
        <v>7.9000000000000008E-3</v>
      </c>
      <c r="G53" s="13">
        <v>9.2129800000000008E-3</v>
      </c>
      <c r="H53" s="6">
        <f t="shared" si="0"/>
        <v>15.886900000000001</v>
      </c>
      <c r="I53" s="7">
        <v>18.527302780000003</v>
      </c>
    </row>
    <row r="54" spans="1:9" x14ac:dyDescent="0.3">
      <c r="A54" s="9" t="s">
        <v>95</v>
      </c>
      <c r="B54" s="9">
        <v>7010400026</v>
      </c>
      <c r="C54" s="9" t="s">
        <v>94</v>
      </c>
      <c r="D54" s="9" t="s">
        <v>11</v>
      </c>
      <c r="E54" s="11">
        <v>2011</v>
      </c>
      <c r="F54" s="12">
        <v>7.9000000000000008E-3</v>
      </c>
      <c r="G54" s="13">
        <v>9.2129800000000008E-3</v>
      </c>
      <c r="H54" s="6">
        <f t="shared" si="0"/>
        <v>15.886900000000001</v>
      </c>
      <c r="I54" s="7">
        <v>18.527302780000003</v>
      </c>
    </row>
    <row r="55" spans="1:9" x14ac:dyDescent="0.3">
      <c r="A55" s="9" t="s">
        <v>96</v>
      </c>
      <c r="B55" s="9">
        <v>7010400027</v>
      </c>
      <c r="C55" s="9" t="s">
        <v>94</v>
      </c>
      <c r="D55" s="9" t="s">
        <v>11</v>
      </c>
      <c r="E55" s="11">
        <v>2011</v>
      </c>
      <c r="F55" s="12">
        <v>7.9000000000000008E-3</v>
      </c>
      <c r="G55" s="13">
        <v>9.2129800000000008E-3</v>
      </c>
      <c r="H55" s="6">
        <f t="shared" si="0"/>
        <v>15.886900000000001</v>
      </c>
      <c r="I55" s="7">
        <v>18.527302780000003</v>
      </c>
    </row>
    <row r="56" spans="1:9" x14ac:dyDescent="0.3">
      <c r="A56" s="9" t="s">
        <v>97</v>
      </c>
      <c r="B56" s="9">
        <v>7020400022</v>
      </c>
      <c r="C56" s="9" t="s">
        <v>98</v>
      </c>
      <c r="D56" s="9" t="s">
        <v>11</v>
      </c>
      <c r="E56" s="11">
        <v>100.00000000000013</v>
      </c>
      <c r="F56" s="12">
        <v>0.1535</v>
      </c>
      <c r="G56" s="13">
        <v>0.1790117</v>
      </c>
      <c r="H56" s="6">
        <f t="shared" si="0"/>
        <v>15.350000000000019</v>
      </c>
      <c r="I56" s="7">
        <v>17.901170000000022</v>
      </c>
    </row>
    <row r="57" spans="1:9" x14ac:dyDescent="0.3">
      <c r="A57" s="9" t="s">
        <v>99</v>
      </c>
      <c r="B57" s="9">
        <v>7010400150</v>
      </c>
      <c r="C57" s="9" t="s">
        <v>71</v>
      </c>
      <c r="D57" s="9" t="s">
        <v>11</v>
      </c>
      <c r="E57" s="11">
        <v>50.000000000000064</v>
      </c>
      <c r="F57" s="12">
        <v>0.15559999999999999</v>
      </c>
      <c r="G57" s="13">
        <v>0.18146071999999996</v>
      </c>
      <c r="H57" s="6">
        <f t="shared" si="0"/>
        <v>7.7800000000000091</v>
      </c>
      <c r="I57" s="7">
        <v>9.073036000000009</v>
      </c>
    </row>
    <row r="58" spans="1:9" x14ac:dyDescent="0.3">
      <c r="A58" s="9" t="s">
        <v>100</v>
      </c>
      <c r="B58" s="9">
        <v>7010400111</v>
      </c>
      <c r="C58" s="9" t="s">
        <v>101</v>
      </c>
      <c r="D58" s="9" t="s">
        <v>11</v>
      </c>
      <c r="E58" s="11">
        <v>50.000000000000064</v>
      </c>
      <c r="F58" s="12">
        <v>8.7099999999999997E-2</v>
      </c>
      <c r="G58" s="13">
        <v>0.10157601999999999</v>
      </c>
      <c r="H58" s="6">
        <f t="shared" si="0"/>
        <v>4.3550000000000058</v>
      </c>
      <c r="I58" s="7">
        <v>5.0788010000000057</v>
      </c>
    </row>
    <row r="59" spans="1:9" x14ac:dyDescent="0.3">
      <c r="A59" s="9" t="s">
        <v>102</v>
      </c>
      <c r="B59" s="9">
        <v>7010400145</v>
      </c>
      <c r="C59" s="9" t="s">
        <v>103</v>
      </c>
      <c r="D59" s="9" t="s">
        <v>11</v>
      </c>
      <c r="E59" s="11">
        <v>50.000000000000064</v>
      </c>
      <c r="F59" s="12">
        <v>6.5500000000000003E-2</v>
      </c>
      <c r="G59" s="14">
        <v>7.6386099999999998E-2</v>
      </c>
      <c r="H59" s="6">
        <f t="shared" si="0"/>
        <v>3.2750000000000044</v>
      </c>
      <c r="I59" s="7">
        <v>3.8193050000000048</v>
      </c>
    </row>
    <row r="60" spans="1:9" x14ac:dyDescent="0.3">
      <c r="A60" s="9" t="s">
        <v>104</v>
      </c>
      <c r="B60" s="9">
        <v>7010400113</v>
      </c>
      <c r="C60" s="9" t="s">
        <v>105</v>
      </c>
      <c r="D60" s="9" t="s">
        <v>11</v>
      </c>
      <c r="E60" s="11">
        <v>50.000000000000064</v>
      </c>
      <c r="F60" s="12">
        <v>4.8800000000000003E-2</v>
      </c>
      <c r="G60" s="13">
        <v>5.6910559999999999E-2</v>
      </c>
      <c r="H60" s="6">
        <f t="shared" si="0"/>
        <v>2.4400000000000031</v>
      </c>
      <c r="I60" s="7">
        <v>2.8455280000000034</v>
      </c>
    </row>
    <row r="61" spans="1:9" x14ac:dyDescent="0.3">
      <c r="A61" s="9" t="s">
        <v>106</v>
      </c>
      <c r="B61" s="9">
        <v>7010401424</v>
      </c>
      <c r="C61" s="9" t="s">
        <v>107</v>
      </c>
      <c r="D61" s="9" t="s">
        <v>11</v>
      </c>
      <c r="E61" s="11">
        <v>50.000000000000064</v>
      </c>
      <c r="F61" s="12">
        <v>1.78E-2</v>
      </c>
      <c r="G61" s="13">
        <v>2.0758359999999997E-2</v>
      </c>
      <c r="H61" s="6">
        <f t="shared" si="0"/>
        <v>0.89000000000000112</v>
      </c>
      <c r="I61" s="7">
        <v>1.0379180000000012</v>
      </c>
    </row>
    <row r="62" spans="1:9" x14ac:dyDescent="0.3">
      <c r="A62" s="9" t="s">
        <v>108</v>
      </c>
      <c r="B62" s="9">
        <v>7010400087</v>
      </c>
      <c r="C62" s="9" t="s">
        <v>107</v>
      </c>
      <c r="D62" s="9" t="s">
        <v>11</v>
      </c>
      <c r="E62" s="11">
        <v>50.000000000000064</v>
      </c>
      <c r="F62" s="12">
        <v>1.6299999999999999E-2</v>
      </c>
      <c r="G62" s="14">
        <v>1.9009059999999998E-2</v>
      </c>
      <c r="H62" s="6">
        <f t="shared" si="0"/>
        <v>0.81500000000000095</v>
      </c>
      <c r="I62" s="7">
        <v>1</v>
      </c>
    </row>
    <row r="63" spans="1:9" x14ac:dyDescent="0.3">
      <c r="H63" s="15" t="s">
        <v>109</v>
      </c>
      <c r="I63" s="16">
        <f>(I62+I61+I60+I59+I58+I57+I56+I55+I54+I53+I52+I51+I50+I48+I49+I47+I46+I45+I44+I43+I42+I41+I40+I39+I38+I37+I36+I35+I34+I33+I32+I31+I30+I29+I28+I27+I26+I25+I24+I23+I22+I21+I20+I19+I18+I17+I16+I15+I14+I13+I12+I11+I10+I9+I8+I7+I6+I5+I4+I3)</f>
        <v>141528.1803059009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3" priority="3"/>
    <cfRule type="duplicateValues" dxfId="2" priority="4"/>
  </conditionalFormatting>
  <conditionalFormatting sqref="B3:B6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2026-05-19T13:39:53Z</dcterms:modified>
</cp:coreProperties>
</file>