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E1782653-AFD1-4D29-A533-1B55D95A6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H4" i="1"/>
  <c r="H5" i="1"/>
  <c r="H6" i="1"/>
  <c r="H7" i="1"/>
  <c r="H8" i="1"/>
  <c r="H9" i="1"/>
  <c r="H10" i="1"/>
  <c r="H11" i="1"/>
  <c r="H12" i="1"/>
  <c r="H13" i="1"/>
  <c r="H3" i="1"/>
</calcChain>
</file>

<file path=xl/sharedStrings.xml><?xml version="1.0" encoding="utf-8"?>
<sst xmlns="http://schemas.openxmlformats.org/spreadsheetml/2006/main" count="43" uniqueCount="33">
  <si>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</si>
  <si>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</si>
  <si>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</si>
  <si>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</si>
  <si>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</si>
  <si>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</si>
  <si>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</si>
  <si>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3020400450-02</t>
  </si>
  <si>
    <t>MOUNTING RING [3020400450]</t>
  </si>
  <si>
    <t>HUANA TECHNOLOGY (SUZHOU)</t>
  </si>
  <si>
    <t>2020401448-01</t>
  </si>
  <si>
    <t>TETHERED COVER FORD V363</t>
  </si>
  <si>
    <t>1055400722-00</t>
  </si>
  <si>
    <t>7.2KW HVPO BP FACEPLATE Stellantis</t>
  </si>
  <si>
    <t>1055400723-00</t>
  </si>
  <si>
    <t>7.2KW HVPOBP MID HOUSING Stellantis</t>
  </si>
  <si>
    <t>1055400725-00</t>
  </si>
  <si>
    <t xml:space="preserve">7.2KW HVPO REAR HOUSING </t>
  </si>
  <si>
    <t>1055400749-00</t>
  </si>
  <si>
    <t>7.2KW RELAY BOX HOUSING Stellantis</t>
  </si>
  <si>
    <t>1055400750-00</t>
  </si>
  <si>
    <t>7.2KW RELAY BOX COVER Stellantis</t>
  </si>
  <si>
    <t>3020400774-01</t>
  </si>
  <si>
    <t xml:space="preserve">MOUNTING RING </t>
  </si>
  <si>
    <t>3020400556-00</t>
  </si>
  <si>
    <t>COVER [3020400556]</t>
  </si>
  <si>
    <t>3020300431-00</t>
  </si>
  <si>
    <t xml:space="preserve">COVER WITH PAD PRINT </t>
  </si>
  <si>
    <t>3020400560-00</t>
  </si>
  <si>
    <t>MOUNTING RING [3020400560]</t>
  </si>
  <si>
    <t>Related Unit Price ¥</t>
  </si>
  <si>
    <t>Yearly Spend ¥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</si>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</sst>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F24" sqref="F24:G24"/>
    </sheetView>
  </sheetViews>
  <sheetFormatPr defaultRowHeight="14.4" x14ac:dyDescent="0.3"/>
  <cols>
    <col min="1" max="1" width="19.44140625" customWidth="1"/>
    <col min="2" max="2" width="19.77734375" customWidth="1"/>
    <col min="3" max="3" width="37.5546875" customWidth="1"/>
    <col min="4" max="4" width="27.21875" customWidth="1"/>
    <col min="5" max="5" width="17.33203125" customWidth="1"/>
    <col min="6" max="6" width="12.44140625" customWidth="1"/>
    <col min="7" max="7" width="14.66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5</v>
      </c>
      <c r="H1" s="2" t="s">
        <v>31</v>
      </c>
      <c r="I1" s="2" t="s">
        <v>6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7</v>
      </c>
      <c r="B3" s="6">
        <v>3020400450</v>
      </c>
      <c r="C3" s="7" t="s">
        <v>8</v>
      </c>
      <c r="D3" s="7" t="s">
        <v>9</v>
      </c>
      <c r="E3" s="8">
        <v>272606.40000000002</v>
      </c>
      <c r="F3" s="9">
        <v>0.73509999999999998</v>
      </c>
      <c r="G3" s="10">
        <v>0.10313453</v>
      </c>
      <c r="H3" s="11">
        <f>(F3*E3)</f>
        <v>200392.96464000002</v>
      </c>
      <c r="I3" s="11">
        <v>28115.132938992003</v>
      </c>
    </row>
    <row r="4" spans="1:9" x14ac:dyDescent="0.3">
      <c r="A4" s="6" t="s">
        <v>10</v>
      </c>
      <c r="B4" s="6">
        <v>2020401448</v>
      </c>
      <c r="C4" s="7" t="s">
        <v>11</v>
      </c>
      <c r="D4" s="7" t="s">
        <v>9</v>
      </c>
      <c r="E4" s="8">
        <v>159561</v>
      </c>
      <c r="F4" s="9">
        <v>1.1551</v>
      </c>
      <c r="G4" s="12">
        <v>0.16206053000000001</v>
      </c>
      <c r="H4" s="11">
        <f t="shared" ref="H4:H13" si="0">(F4*E4)</f>
        <v>184308.9111</v>
      </c>
      <c r="I4" s="11">
        <v>25858.540227330002</v>
      </c>
    </row>
    <row r="5" spans="1:9" x14ac:dyDescent="0.3">
      <c r="A5" s="7" t="s">
        <v>12</v>
      </c>
      <c r="B5" s="7">
        <v>1055400722</v>
      </c>
      <c r="C5" s="7" t="s">
        <v>13</v>
      </c>
      <c r="D5" s="7" t="s">
        <v>9</v>
      </c>
      <c r="E5" s="8">
        <v>9040.0001000720986</v>
      </c>
      <c r="F5" s="9">
        <v>14.537800000000001</v>
      </c>
      <c r="G5" s="10">
        <v>2.0396533400000001</v>
      </c>
      <c r="H5" s="11">
        <f t="shared" si="0"/>
        <v>131421.71345482816</v>
      </c>
      <c r="I5" s="11">
        <v>18438.466397712389</v>
      </c>
    </row>
    <row r="6" spans="1:9" x14ac:dyDescent="0.3">
      <c r="A6" s="7" t="s">
        <v>14</v>
      </c>
      <c r="B6" s="7">
        <v>1055400723</v>
      </c>
      <c r="C6" s="7" t="s">
        <v>15</v>
      </c>
      <c r="D6" s="7" t="s">
        <v>9</v>
      </c>
      <c r="E6" s="8">
        <v>9040.0001000720986</v>
      </c>
      <c r="F6" s="9">
        <v>14.196999999999999</v>
      </c>
      <c r="G6" s="12">
        <v>1.9918391</v>
      </c>
      <c r="H6" s="11">
        <f t="shared" si="0"/>
        <v>128340.88142072357</v>
      </c>
      <c r="I6" s="11">
        <v>18006.225663327517</v>
      </c>
    </row>
    <row r="7" spans="1:9" x14ac:dyDescent="0.3">
      <c r="A7" s="7" t="s">
        <v>16</v>
      </c>
      <c r="B7" s="7">
        <v>1055400725</v>
      </c>
      <c r="C7" s="7" t="s">
        <v>17</v>
      </c>
      <c r="D7" s="7" t="s">
        <v>9</v>
      </c>
      <c r="E7" s="8">
        <v>9040.0001000720986</v>
      </c>
      <c r="F7" s="9">
        <v>11.478300000000001</v>
      </c>
      <c r="G7" s="12">
        <v>1.6104054900000002</v>
      </c>
      <c r="H7" s="11">
        <f t="shared" si="0"/>
        <v>103763.83314865758</v>
      </c>
      <c r="I7" s="11">
        <v>14558.065790756658</v>
      </c>
    </row>
    <row r="8" spans="1:9" x14ac:dyDescent="0.3">
      <c r="A8" s="7" t="s">
        <v>18</v>
      </c>
      <c r="B8" s="7">
        <v>1055400749</v>
      </c>
      <c r="C8" s="7" t="s">
        <v>19</v>
      </c>
      <c r="D8" s="7" t="s">
        <v>9</v>
      </c>
      <c r="E8" s="8">
        <v>9040</v>
      </c>
      <c r="F8" s="9">
        <v>11.288</v>
      </c>
      <c r="G8" s="10">
        <v>1.5837064000000001</v>
      </c>
      <c r="H8" s="11">
        <f t="shared" si="0"/>
        <v>102043.52</v>
      </c>
      <c r="I8" s="11">
        <v>14316.705856</v>
      </c>
    </row>
    <row r="9" spans="1:9" x14ac:dyDescent="0.3">
      <c r="A9" s="7" t="s">
        <v>20</v>
      </c>
      <c r="B9" s="7">
        <v>1055400750</v>
      </c>
      <c r="C9" s="7" t="s">
        <v>21</v>
      </c>
      <c r="D9" s="7" t="s">
        <v>9</v>
      </c>
      <c r="E9" s="8">
        <v>9040</v>
      </c>
      <c r="F9" s="9">
        <v>7.4429999999999996</v>
      </c>
      <c r="G9" s="12">
        <v>1.0442529</v>
      </c>
      <c r="H9" s="11">
        <f t="shared" si="0"/>
        <v>67284.72</v>
      </c>
      <c r="I9" s="11">
        <v>9440.0462160000006</v>
      </c>
    </row>
    <row r="10" spans="1:9" x14ac:dyDescent="0.3">
      <c r="A10" s="6" t="s">
        <v>22</v>
      </c>
      <c r="B10" s="6">
        <v>3020400774</v>
      </c>
      <c r="C10" s="7" t="s">
        <v>23</v>
      </c>
      <c r="D10" s="7" t="s">
        <v>9</v>
      </c>
      <c r="E10" s="8">
        <v>12976</v>
      </c>
      <c r="F10" s="9">
        <v>0.88639999999999997</v>
      </c>
      <c r="G10" s="12">
        <v>0.12436192</v>
      </c>
      <c r="H10" s="11">
        <f t="shared" si="0"/>
        <v>11501.9264</v>
      </c>
      <c r="I10" s="11">
        <v>1613.72027392</v>
      </c>
    </row>
    <row r="11" spans="1:9" x14ac:dyDescent="0.3">
      <c r="A11" s="6" t="s">
        <v>24</v>
      </c>
      <c r="B11" s="6">
        <v>3020400556</v>
      </c>
      <c r="C11" s="7" t="s">
        <v>25</v>
      </c>
      <c r="D11" s="7" t="s">
        <v>9</v>
      </c>
      <c r="E11" s="8">
        <v>15420.000000000002</v>
      </c>
      <c r="F11" s="9">
        <v>0.74029999999999996</v>
      </c>
      <c r="G11" s="12">
        <v>0.10386409000000001</v>
      </c>
      <c r="H11" s="11">
        <f t="shared" si="0"/>
        <v>11415.426000000001</v>
      </c>
      <c r="I11" s="11">
        <v>1601.5842678000004</v>
      </c>
    </row>
    <row r="12" spans="1:9" x14ac:dyDescent="0.3">
      <c r="A12" s="6" t="s">
        <v>26</v>
      </c>
      <c r="B12" s="6">
        <v>3020300431</v>
      </c>
      <c r="C12" s="7" t="s">
        <v>27</v>
      </c>
      <c r="D12" s="7" t="s">
        <v>9</v>
      </c>
      <c r="E12" s="8">
        <v>12976</v>
      </c>
      <c r="F12" s="9">
        <v>0.875</v>
      </c>
      <c r="G12" s="12">
        <v>0.12276250000000001</v>
      </c>
      <c r="H12" s="11">
        <f t="shared" si="0"/>
        <v>11354</v>
      </c>
      <c r="I12" s="11">
        <v>1592.9662000000001</v>
      </c>
    </row>
    <row r="13" spans="1:9" x14ac:dyDescent="0.3">
      <c r="A13" s="6" t="s">
        <v>28</v>
      </c>
      <c r="B13" s="6">
        <v>3020400560</v>
      </c>
      <c r="C13" s="7" t="s">
        <v>29</v>
      </c>
      <c r="D13" s="7" t="s">
        <v>9</v>
      </c>
      <c r="E13" s="8">
        <v>15420.000000000002</v>
      </c>
      <c r="F13" s="9">
        <v>0.72499999999999998</v>
      </c>
      <c r="G13" s="12">
        <v>0.1017175</v>
      </c>
      <c r="H13" s="11">
        <f t="shared" si="0"/>
        <v>11179.500000000002</v>
      </c>
      <c r="I13" s="11">
        <v>1568.4838500000003</v>
      </c>
    </row>
    <row r="14" spans="1:9" x14ac:dyDescent="0.3">
      <c r="G14" s="13" t="s">
        <v>32</v>
      </c>
      <c r="H14" s="14">
        <f>SUM(H3:H13)</f>
        <v>963007.39616420935</v>
      </c>
      <c r="I14" s="14">
        <f>SUM(I3:I13)</f>
        <v>135109.93768183855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1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2026-06-02T11:05:01Z</dcterms:modified>
</cp:coreProperties>
</file>