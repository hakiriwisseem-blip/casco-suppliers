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7D0CAFDB-75FE-4151-A240-ECC9001A7C9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H4" i="1"/>
  <c r="H5" i="1"/>
  <c r="H6" i="1"/>
  <c r="H7" i="1"/>
  <c r="H8" i="1"/>
  <c r="H9" i="1"/>
  <c r="H3" i="1"/>
</calcChain>
</file>

<file path=xl/sharedStrings.xml><?xml version="1.0" encoding="utf-8"?>
<sst xmlns="http://schemas.openxmlformats.org/spreadsheetml/2006/main" count="31" uniqueCount="25">
  <si>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</si>
  <si>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</si>
  <si>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</si>
  <si>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</si>
  <si>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</si>
  <si>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</si>
  <si>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</si>
  <si>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</si>
  <si>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</si>
  <si>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2020600043-00</t>
  </si>
  <si>
    <t>CONNECTEUR 1823137-1 /A1 6</t>
  </si>
  <si>
    <t>HERITIERS MONCEF MHEDHBI " R</t>
  </si>
  <si>
    <t>2020600104-00</t>
  </si>
  <si>
    <t>Connector hsg 2 poles TE 180907-5</t>
  </si>
  <si>
    <t>7010400054-00</t>
  </si>
  <si>
    <t>CONN 3V NA 2-828-818-1 / A107</t>
  </si>
  <si>
    <t>6010600178-00</t>
  </si>
  <si>
    <t xml:space="preserve">TERMINAL 282378/1 TYCO </t>
  </si>
  <si>
    <t>6010600172-00</t>
  </si>
  <si>
    <t xml:space="preserve">CONN.AMP 174928/1 3 VIE </t>
  </si>
  <si>
    <t>6010600173-00</t>
  </si>
  <si>
    <t xml:space="preserve">BOTT.FIXAGE AMP 345484 </t>
  </si>
  <si>
    <t>7010400055-00</t>
  </si>
  <si>
    <t>CONN 2V 2-828 815-1 / A1 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</si>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</sst>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5" xfId="0" applyNumberFormat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L22" sqref="L22"/>
    </sheetView>
  </sheetViews>
  <sheetFormatPr defaultRowHeight="14.4" x14ac:dyDescent="0.3"/>
  <cols>
    <col min="1" max="2" width="14" customWidth="1"/>
    <col min="3" max="3" width="31.21875" customWidth="1"/>
    <col min="4" max="4" width="28.77734375" customWidth="1"/>
    <col min="5" max="5" width="10.88671875" customWidth="1"/>
    <col min="6" max="6" width="11.77734375" customWidth="1"/>
    <col min="7" max="7" width="10.6640625" customWidth="1"/>
    <col min="8" max="9" width="9.77734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2020600043</v>
      </c>
      <c r="C3" s="7" t="s">
        <v>10</v>
      </c>
      <c r="D3" s="7" t="s">
        <v>11</v>
      </c>
      <c r="E3" s="8">
        <v>448988.00000000052</v>
      </c>
      <c r="F3" s="9">
        <v>5.1199999999999996E-2</v>
      </c>
      <c r="G3" s="12">
        <v>5.9709439999999989E-2</v>
      </c>
      <c r="H3" s="11">
        <f>(F3*E3)</f>
        <v>22988.185600000026</v>
      </c>
      <c r="I3" s="11">
        <v>26808.822046720026</v>
      </c>
    </row>
    <row r="4" spans="1:9" x14ac:dyDescent="0.3">
      <c r="A4" s="6" t="s">
        <v>12</v>
      </c>
      <c r="B4" s="6">
        <v>2020600104</v>
      </c>
      <c r="C4" s="7" t="s">
        <v>13</v>
      </c>
      <c r="D4" s="7" t="s">
        <v>11</v>
      </c>
      <c r="E4" s="8">
        <v>50000.000000000073</v>
      </c>
      <c r="F4" s="9">
        <v>0.10934000000000001</v>
      </c>
      <c r="G4" s="10">
        <v>0.12751230799999999</v>
      </c>
      <c r="H4" s="11">
        <f t="shared" ref="H4:H9" si="0">(F4*E4)</f>
        <v>5467.0000000000082</v>
      </c>
      <c r="I4" s="11">
        <v>6375.6154000000088</v>
      </c>
    </row>
    <row r="5" spans="1:9" x14ac:dyDescent="0.3">
      <c r="A5" s="7" t="s">
        <v>14</v>
      </c>
      <c r="B5" s="7">
        <v>7010400054</v>
      </c>
      <c r="C5" s="7" t="s">
        <v>15</v>
      </c>
      <c r="D5" s="7" t="s">
        <v>11</v>
      </c>
      <c r="E5" s="8">
        <v>9959.0000000000146</v>
      </c>
      <c r="F5" s="9">
        <v>8.7779999999999997E-2</v>
      </c>
      <c r="G5" s="10">
        <v>0.10236903599999998</v>
      </c>
      <c r="H5" s="11">
        <f t="shared" si="0"/>
        <v>874.20102000000122</v>
      </c>
      <c r="I5" s="11">
        <v>1019.4932295240013</v>
      </c>
    </row>
    <row r="6" spans="1:9" x14ac:dyDescent="0.3">
      <c r="A6" s="7" t="s">
        <v>16</v>
      </c>
      <c r="B6" s="7">
        <v>6010600178</v>
      </c>
      <c r="C6" s="7" t="s">
        <v>17</v>
      </c>
      <c r="D6" s="7" t="s">
        <v>11</v>
      </c>
      <c r="E6" s="8">
        <v>6213.9899999999989</v>
      </c>
      <c r="F6" s="9">
        <v>8.8789999999999994E-2</v>
      </c>
      <c r="G6" s="10">
        <v>0.10354689799999998</v>
      </c>
      <c r="H6" s="11">
        <f t="shared" si="0"/>
        <v>551.74017209999988</v>
      </c>
      <c r="I6" s="11">
        <v>643.43938870301974</v>
      </c>
    </row>
    <row r="7" spans="1:9" x14ac:dyDescent="0.3">
      <c r="A7" s="7" t="s">
        <v>18</v>
      </c>
      <c r="B7" s="7">
        <v>6010600172</v>
      </c>
      <c r="C7" s="7" t="s">
        <v>19</v>
      </c>
      <c r="D7" s="7" t="s">
        <v>11</v>
      </c>
      <c r="E7" s="8">
        <v>2011</v>
      </c>
      <c r="F7" s="9">
        <v>0.26100000000000001</v>
      </c>
      <c r="G7" s="10">
        <v>0.30437819999999999</v>
      </c>
      <c r="H7" s="11">
        <f t="shared" si="0"/>
        <v>524.87099999999998</v>
      </c>
      <c r="I7" s="11">
        <v>612.10456019999992</v>
      </c>
    </row>
    <row r="8" spans="1:9" x14ac:dyDescent="0.3">
      <c r="A8" s="7" t="s">
        <v>20</v>
      </c>
      <c r="B8" s="7">
        <v>6010600173</v>
      </c>
      <c r="C8" s="7" t="s">
        <v>21</v>
      </c>
      <c r="D8" s="7" t="s">
        <v>11</v>
      </c>
      <c r="E8" s="8">
        <v>2011</v>
      </c>
      <c r="F8" s="9">
        <v>0.1177</v>
      </c>
      <c r="G8" s="10">
        <v>0.13726173999999999</v>
      </c>
      <c r="H8" s="11">
        <f t="shared" si="0"/>
        <v>236.69470000000001</v>
      </c>
      <c r="I8" s="11">
        <v>276.03335913999996</v>
      </c>
    </row>
    <row r="9" spans="1:9" x14ac:dyDescent="0.3">
      <c r="A9" s="7" t="s">
        <v>22</v>
      </c>
      <c r="B9" s="7">
        <v>7010400055</v>
      </c>
      <c r="C9" s="7" t="s">
        <v>23</v>
      </c>
      <c r="D9" s="7" t="s">
        <v>11</v>
      </c>
      <c r="E9" s="8">
        <v>1750.0000000000023</v>
      </c>
      <c r="F9" s="9">
        <v>6.6130000000000008E-2</v>
      </c>
      <c r="G9" s="10">
        <v>7.7120806E-2</v>
      </c>
      <c r="H9" s="11">
        <f t="shared" si="0"/>
        <v>115.72750000000016</v>
      </c>
      <c r="I9" s="11">
        <v>134.96141050000017</v>
      </c>
    </row>
    <row r="10" spans="1:9" x14ac:dyDescent="0.3">
      <c r="H10" s="13" t="s">
        <v>24</v>
      </c>
      <c r="I10" s="14">
        <f>(I3+I4+I5+I6+I7+I8+I9)</f>
        <v>35870.469394787047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2026-05-19T15:00:39Z</dcterms:modified>
</cp:coreProperties>
</file>