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D28A6727-3B73-44A2-88C5-25E62BB70A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H4" i="1"/>
  <c r="H5" i="1"/>
  <c r="H3" i="1"/>
</calcChain>
</file>

<file path=xl/sharedStrings.xml><?xml version="1.0" encoding="utf-8"?>
<sst xmlns="http://schemas.openxmlformats.org/spreadsheetml/2006/main" count="19" uniqueCount="18">
  <si>
    <t>CAT PN</t>
  </si>
  <si>
    <t>PN without Eng. Indices</t>
  </si>
  <si>
    <t>Description</t>
  </si>
  <si>
    <t>CAT Direct Supplier</t>
  </si>
  <si>
    <t>CY2026 Total demand (UM)</t>
  </si>
  <si>
    <t xml:space="preserve">Related Unit Price ¥ </t>
  </si>
  <si>
    <t>Related Unit Price $</t>
  </si>
  <si>
    <t xml:space="preserve">Yearly Spend ¥ </t>
  </si>
  <si>
    <t>Yearly Spend $</t>
  </si>
  <si>
    <t>2020400233-01</t>
  </si>
  <si>
    <t xml:space="preserve">B SPRING </t>
  </si>
  <si>
    <t>WEIYE PRECISION TECHNOLOGY</t>
  </si>
  <si>
    <t>2010400821-00</t>
  </si>
  <si>
    <t xml:space="preserve">Federkorb </t>
  </si>
  <si>
    <t xml:space="preserve">WEIYE PRECISION TECHNOLOGY </t>
  </si>
  <si>
    <t>3010400209-02</t>
  </si>
  <si>
    <t xml:space="preserve">TUBE METAL [3010400209]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</si>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</sst>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4" fontId="2" fillId="3" borderId="5" xfId="1" applyNumberFormat="1" applyFont="1" applyFill="1" applyBorder="1"/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6" sqref="H6:I6"/>
    </sheetView>
  </sheetViews>
  <sheetFormatPr defaultRowHeight="14.4" x14ac:dyDescent="0.3"/>
  <cols>
    <col min="1" max="1" width="14.5546875" customWidth="1"/>
    <col min="2" max="2" width="13.5546875" customWidth="1"/>
    <col min="3" max="3" width="21.21875" customWidth="1"/>
    <col min="4" max="4" width="29.77734375" customWidth="1"/>
    <col min="5" max="5" width="12.44140625" customWidth="1"/>
    <col min="7" max="7" width="9.88671875" customWidth="1"/>
    <col min="8" max="8" width="12.5546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2020400233</v>
      </c>
      <c r="C3" s="7" t="s">
        <v>10</v>
      </c>
      <c r="D3" s="7" t="s">
        <v>11</v>
      </c>
      <c r="E3" s="8">
        <v>2420636.200000003</v>
      </c>
      <c r="F3" s="9">
        <v>0.2122</v>
      </c>
      <c r="G3" s="12">
        <v>2.9771660000000002E-2</v>
      </c>
      <c r="H3" s="8">
        <f>( F3*E3)</f>
        <v>513659.00164000061</v>
      </c>
      <c r="I3" s="11">
        <v>72066.357930092097</v>
      </c>
    </row>
    <row r="4" spans="1:9" x14ac:dyDescent="0.3">
      <c r="A4" s="6" t="s">
        <v>12</v>
      </c>
      <c r="B4" s="6">
        <v>2010400821</v>
      </c>
      <c r="C4" s="7" t="s">
        <v>13</v>
      </c>
      <c r="D4" s="7" t="s">
        <v>14</v>
      </c>
      <c r="E4" s="8">
        <v>363469.85000000044</v>
      </c>
      <c r="F4" s="9">
        <v>0.64839999999999998</v>
      </c>
      <c r="G4" s="10">
        <v>9.0970519999999999E-2</v>
      </c>
      <c r="H4" s="8">
        <f t="shared" ref="H4:H6" si="0">( F4*E4)</f>
        <v>235673.85074000029</v>
      </c>
      <c r="I4" s="11">
        <v>33065.041258822042</v>
      </c>
    </row>
    <row r="5" spans="1:9" x14ac:dyDescent="0.3">
      <c r="A5" s="7" t="s">
        <v>15</v>
      </c>
      <c r="B5" s="7">
        <v>3010400209</v>
      </c>
      <c r="C5" s="7" t="s">
        <v>16</v>
      </c>
      <c r="D5" s="7" t="s">
        <v>14</v>
      </c>
      <c r="E5" s="8">
        <v>8964</v>
      </c>
      <c r="F5" s="9">
        <v>0.64839999999999998</v>
      </c>
      <c r="G5" s="12">
        <v>9.0970519999999999E-2</v>
      </c>
      <c r="H5" s="8">
        <f t="shared" si="0"/>
        <v>5812.2575999999999</v>
      </c>
      <c r="I5" s="11">
        <v>815.45974128</v>
      </c>
    </row>
    <row r="6" spans="1:9" x14ac:dyDescent="0.3">
      <c r="H6" s="13" t="s">
        <v>17</v>
      </c>
      <c r="I6" s="14">
        <f>SUM(I3:I5)</f>
        <v>105946.85893019414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2026-06-03T10:36:56Z</dcterms:modified>
</cp:coreProperties>
</file>