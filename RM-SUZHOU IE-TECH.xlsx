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CF7AC540-9565-4460-9A89-86F777A09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H4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3" i="1"/>
</calcChain>
</file>

<file path=xl/sharedStrings.xml><?xml version="1.0" encoding="utf-8"?>
<sst xmlns="http://schemas.openxmlformats.org/spreadsheetml/2006/main" count="130" uniqueCount="87">
  <si>
    <t>CAT PN</t>
  </si>
  <si>
    <t>PN without Eng. Indices</t>
  </si>
  <si>
    <t>Description</t>
  </si>
  <si>
    <t>CAT Direct Supplier</t>
  </si>
  <si>
    <t>CY2026 Total demand (UM)</t>
  </si>
  <si>
    <t>Related Unit Price $</t>
  </si>
  <si>
    <t>Yearly Spend $</t>
  </si>
  <si>
    <t>1030400142-00</t>
  </si>
  <si>
    <t xml:space="preserve">COVER FORD DG9T </t>
  </si>
  <si>
    <t>SUZHOU IE-TECH CO.LTD</t>
  </si>
  <si>
    <t>1055300330-01</t>
  </si>
  <si>
    <t xml:space="preserve">PRONG detection </t>
  </si>
  <si>
    <t>1055400991-00</t>
  </si>
  <si>
    <t>INTERIOR FUSE CARRIER VW</t>
  </si>
  <si>
    <t>3020400997-00</t>
  </si>
  <si>
    <t xml:space="preserve">Cover with Print </t>
  </si>
  <si>
    <t>1055400634-AA</t>
  </si>
  <si>
    <t>INTERIOR HOUSING A (NEMA)</t>
  </si>
  <si>
    <t>3020400515-00</t>
  </si>
  <si>
    <t>Cover with Print [3020400515]</t>
  </si>
  <si>
    <t>1055400675-00</t>
  </si>
  <si>
    <t>HVPO INTERIOR FACEPALTE VW</t>
  </si>
  <si>
    <t>1055300368-AA</t>
  </si>
  <si>
    <t xml:space="preserve">LEVER ARM, SUB-ASSY </t>
  </si>
  <si>
    <t>3020400516-00</t>
  </si>
  <si>
    <t>ROUND VERSION MR [3020400516]</t>
  </si>
  <si>
    <t>1055300288-00</t>
  </si>
  <si>
    <t xml:space="preserve">PRONG DETECT VW </t>
  </si>
  <si>
    <t>1055400636-AA</t>
  </si>
  <si>
    <t xml:space="preserve">T-holder </t>
  </si>
  <si>
    <t>1055400728-00</t>
  </si>
  <si>
    <t>7.2KW HVPO  20A COVER A Stellantis</t>
  </si>
  <si>
    <t>1055400729-00</t>
  </si>
  <si>
    <t>7.2KW HVPO 20A COVER B Stellantis</t>
  </si>
  <si>
    <t>3055400143-00</t>
  </si>
  <si>
    <t xml:space="preserve">COVER,2400W HVPO,920B </t>
  </si>
  <si>
    <t>1055401027-00</t>
  </si>
  <si>
    <t xml:space="preserve"> HOUSING </t>
  </si>
  <si>
    <t>1055400730-01</t>
  </si>
  <si>
    <t>7.2KW HVPO BP 30A COVER Stellantis</t>
  </si>
  <si>
    <t>3052400925-01</t>
  </si>
  <si>
    <t xml:space="preserve">Hinge boss </t>
  </si>
  <si>
    <t>2010400249-00</t>
  </si>
  <si>
    <t>KNOB</t>
  </si>
  <si>
    <t>1055400836-AA</t>
  </si>
  <si>
    <t xml:space="preserve">INTERIOR HOUSING A (JP) </t>
  </si>
  <si>
    <t>1055400644-AA</t>
  </si>
  <si>
    <t>ALTERNATIVE_TAMPER RESIST</t>
  </si>
  <si>
    <t>1055400685-00</t>
  </si>
  <si>
    <t xml:space="preserve">SLIDER VW UK </t>
  </si>
  <si>
    <t>1055400635-00</t>
  </si>
  <si>
    <t>light guide UK version</t>
  </si>
  <si>
    <t>2038400050-00</t>
  </si>
  <si>
    <t xml:space="preserve">Gehäuse Oberteil </t>
  </si>
  <si>
    <t>6038400543-03</t>
  </si>
  <si>
    <t>HOUSING</t>
  </si>
  <si>
    <t>6038400544-05</t>
  </si>
  <si>
    <t>COVER</t>
  </si>
  <si>
    <t>1055300474-01</t>
  </si>
  <si>
    <t xml:space="preserve"> LEVER ARM SUB ASSY </t>
  </si>
  <si>
    <t>1055401028-00</t>
  </si>
  <si>
    <t xml:space="preserve"> TERMINAL HOLDER </t>
  </si>
  <si>
    <t>2038400289-00</t>
  </si>
  <si>
    <t>1055400740-01</t>
  </si>
  <si>
    <t>HVPO BP LIGHT GUIDE Stellantis</t>
  </si>
  <si>
    <t>2038400288-00</t>
  </si>
  <si>
    <t>3010400653-00</t>
  </si>
  <si>
    <t>KNOB CENTER PUSH [722A150]</t>
  </si>
  <si>
    <t>1055401030-00</t>
  </si>
  <si>
    <t xml:space="preserve"> SLIDER</t>
  </si>
  <si>
    <t>3010400588-00</t>
  </si>
  <si>
    <t>BEZEL</t>
  </si>
  <si>
    <t>2038400316-00</t>
  </si>
  <si>
    <t xml:space="preserve">Gehause Unterteil </t>
  </si>
  <si>
    <t>2038400315-00</t>
  </si>
  <si>
    <t>2038400297-02</t>
  </si>
  <si>
    <t xml:space="preserve">Gehause Oberteil </t>
  </si>
  <si>
    <t>2034400009-00</t>
  </si>
  <si>
    <t>2034400021-00</t>
  </si>
  <si>
    <t>INTERNAL HOUSING DEFOG S ENSOR</t>
  </si>
  <si>
    <t>2034400011-00</t>
  </si>
  <si>
    <t xml:space="preserve">Internal Cover </t>
  </si>
  <si>
    <t>2034400012-00</t>
  </si>
  <si>
    <t>Plate</t>
  </si>
  <si>
    <t>Related Unit Price ¥</t>
  </si>
  <si>
    <t>Yearly Spend ¥</t>
  </si>
  <si>
    <t xml:space="preserve"> 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</si>
</sst>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7" formatCode="_-* #,##0.00_-;\-* #,##0.00_-;_-* &quot;-&quot;??_-;_-@_-"/>
    <numFmt numFmtId="168" formatCode="_-* #,##0_-;\-* #,##0_-;_-* &quot;-&quot;??_-;_-@_-"/>
    <numFmt numFmtId="169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0" fillId="2" borderId="5" xfId="0" applyFill="1" applyBorder="1"/>
    <xf numFmtId="0" fontId="0" fillId="0" borderId="5" xfId="0" applyBorder="1"/>
    <xf numFmtId="168" fontId="0" fillId="0" borderId="6" xfId="0" applyNumberFormat="1" applyBorder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68" fontId="0" fillId="2" borderId="5" xfId="1" applyNumberFormat="1" applyFont="1" applyFill="1" applyBorder="1"/>
    <xf numFmtId="169" fontId="0" fillId="0" borderId="5" xfId="1" applyNumberFormat="1" applyFont="1" applyBorder="1"/>
    <xf numFmtId="169" fontId="0" fillId="0" borderId="6" xfId="1" applyNumberFormat="1" applyFont="1" applyBorder="1" applyAlignment="1">
      <alignment horizontal="center"/>
    </xf>
    <xf numFmtId="169" fontId="0" fillId="0" borderId="5" xfId="1" applyNumberFormat="1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68" fontId="2" fillId="3" borderId="5" xfId="0" applyNumberFormat="1" applyFont="1" applyFill="1" applyBorder="1" applyAlignment="1">
      <alignment horizontal="center"/>
    </xf>
  </cellXfs>
  <cellStyles count="4">
    <cellStyle name="Comma" xfId="1" builtinId="3"/>
    <cellStyle name="Comma 2" xfId="3" xr:uid="{96BB6C46-3899-408E-9FA6-B1A153A404FB}"/>
    <cellStyle name="Comma 3" xfId="2" xr:uid="{5004129C-868A-4C57-B9C5-B51128937808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G43" sqref="G43:I43"/>
    </sheetView>
  </sheetViews>
  <sheetFormatPr defaultRowHeight="14.4" x14ac:dyDescent="0.3"/>
  <cols>
    <col min="1" max="1" width="18.44140625" customWidth="1"/>
    <col min="2" max="2" width="26.44140625" customWidth="1"/>
    <col min="3" max="3" width="25.88671875" customWidth="1"/>
    <col min="4" max="4" width="22.88671875" customWidth="1"/>
    <col min="5" max="5" width="14.88671875" customWidth="1"/>
    <col min="6" max="6" width="13.109375" customWidth="1"/>
    <col min="7" max="7" width="12.5546875" customWidth="1"/>
    <col min="8" max="9" width="12" customWidth="1"/>
  </cols>
  <sheetData>
    <row r="1" spans="1:9" x14ac:dyDescent="0.3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84</v>
      </c>
      <c r="G1" s="1" t="s">
        <v>5</v>
      </c>
      <c r="H1" s="1" t="s">
        <v>85</v>
      </c>
      <c r="I1" s="1" t="s">
        <v>6</v>
      </c>
    </row>
    <row r="2" spans="1:9" ht="15" thickBot="1" x14ac:dyDescent="0.35">
      <c r="A2" s="7"/>
      <c r="B2" s="8"/>
      <c r="C2" s="8"/>
      <c r="D2" s="8"/>
      <c r="E2" s="5"/>
      <c r="F2" s="5"/>
      <c r="G2" s="5"/>
      <c r="H2" s="5"/>
      <c r="I2" s="5"/>
    </row>
    <row r="3" spans="1:9" x14ac:dyDescent="0.3">
      <c r="A3" s="2" t="s">
        <v>7</v>
      </c>
      <c r="B3" s="2">
        <v>1030400142</v>
      </c>
      <c r="C3" s="3" t="s">
        <v>8</v>
      </c>
      <c r="D3" s="3" t="s">
        <v>9</v>
      </c>
      <c r="E3" s="9">
        <v>1764860.6500000004</v>
      </c>
      <c r="F3" s="10">
        <v>0.29210000000000003</v>
      </c>
      <c r="G3" s="11">
        <v>4.0981630000000005E-2</v>
      </c>
      <c r="H3" s="4">
        <f>(F3*E3)</f>
        <v>515515.79586500017</v>
      </c>
      <c r="I3" s="4">
        <v>72326.866159859521</v>
      </c>
    </row>
    <row r="4" spans="1:9" x14ac:dyDescent="0.3">
      <c r="A4" s="2" t="s">
        <v>10</v>
      </c>
      <c r="B4" s="2">
        <v>1055300330</v>
      </c>
      <c r="C4" s="3" t="s">
        <v>11</v>
      </c>
      <c r="D4" s="3" t="s">
        <v>9</v>
      </c>
      <c r="E4" s="9">
        <v>327773.35801824345</v>
      </c>
      <c r="F4" s="10">
        <v>1.28</v>
      </c>
      <c r="G4" s="11">
        <v>0.17958400000000002</v>
      </c>
      <c r="H4" s="4">
        <f t="shared" ref="H4:H42" si="0">(F4*E4)</f>
        <v>419549.89826335164</v>
      </c>
      <c r="I4" s="4">
        <v>58862.850726348239</v>
      </c>
    </row>
    <row r="5" spans="1:9" x14ac:dyDescent="0.3">
      <c r="A5" s="2" t="s">
        <v>12</v>
      </c>
      <c r="B5" s="2">
        <v>1055400991</v>
      </c>
      <c r="C5" s="3" t="s">
        <v>13</v>
      </c>
      <c r="D5" s="3" t="s">
        <v>9</v>
      </c>
      <c r="E5" s="9">
        <v>337773.35765269335</v>
      </c>
      <c r="F5" s="10">
        <v>1.1299999999999999</v>
      </c>
      <c r="G5" s="12">
        <v>0.15853899999999999</v>
      </c>
      <c r="H5" s="4">
        <f t="shared" si="0"/>
        <v>381683.89414754347</v>
      </c>
      <c r="I5" s="4">
        <v>53550.250348900343</v>
      </c>
    </row>
    <row r="6" spans="1:9" x14ac:dyDescent="0.3">
      <c r="A6" s="2" t="s">
        <v>14</v>
      </c>
      <c r="B6" s="2">
        <v>3020400997</v>
      </c>
      <c r="C6" s="3" t="s">
        <v>15</v>
      </c>
      <c r="D6" s="3" t="s">
        <v>9</v>
      </c>
      <c r="E6" s="9">
        <v>272606.40000000002</v>
      </c>
      <c r="F6" s="10">
        <v>1.3109999999999999</v>
      </c>
      <c r="G6" s="11">
        <v>0.18393329999999999</v>
      </c>
      <c r="H6" s="4">
        <f t="shared" si="0"/>
        <v>357386.99040000001</v>
      </c>
      <c r="I6" s="4">
        <v>50141.394753120003</v>
      </c>
    </row>
    <row r="7" spans="1:9" x14ac:dyDescent="0.3">
      <c r="A7" s="2" t="s">
        <v>16</v>
      </c>
      <c r="B7" s="2">
        <v>1055400634</v>
      </c>
      <c r="C7" s="3" t="s">
        <v>17</v>
      </c>
      <c r="D7" s="3" t="s">
        <v>9</v>
      </c>
      <c r="E7" s="9">
        <v>73555.560101339361</v>
      </c>
      <c r="F7" s="10">
        <v>3.6</v>
      </c>
      <c r="G7" s="12">
        <v>0.50508000000000008</v>
      </c>
      <c r="H7" s="4">
        <f t="shared" si="0"/>
        <v>264800.0163648217</v>
      </c>
      <c r="I7" s="4">
        <v>37151.442295984489</v>
      </c>
    </row>
    <row r="8" spans="1:9" x14ac:dyDescent="0.3">
      <c r="A8" s="2" t="s">
        <v>18</v>
      </c>
      <c r="B8" s="2">
        <v>3020400515</v>
      </c>
      <c r="C8" s="3" t="s">
        <v>19</v>
      </c>
      <c r="D8" s="3" t="s">
        <v>9</v>
      </c>
      <c r="E8" s="9">
        <v>207906.19999999998</v>
      </c>
      <c r="F8" s="10">
        <v>1.169</v>
      </c>
      <c r="G8" s="11">
        <v>0.16401070000000001</v>
      </c>
      <c r="H8" s="4">
        <f t="shared" si="0"/>
        <v>243042.34779999999</v>
      </c>
      <c r="I8" s="4">
        <v>34098.841396340002</v>
      </c>
    </row>
    <row r="9" spans="1:9" x14ac:dyDescent="0.3">
      <c r="A9" s="2" t="s">
        <v>20</v>
      </c>
      <c r="B9" s="2">
        <v>1055400675</v>
      </c>
      <c r="C9" s="3" t="s">
        <v>21</v>
      </c>
      <c r="D9" s="3" t="s">
        <v>9</v>
      </c>
      <c r="E9" s="9">
        <v>55677.837964696373</v>
      </c>
      <c r="F9" s="10">
        <v>3.65</v>
      </c>
      <c r="G9" s="12">
        <v>0.51209499999999997</v>
      </c>
      <c r="H9" s="4">
        <f t="shared" si="0"/>
        <v>203224.10857114175</v>
      </c>
      <c r="I9" s="4">
        <v>28512.342432531186</v>
      </c>
    </row>
    <row r="10" spans="1:9" x14ac:dyDescent="0.3">
      <c r="A10" s="2" t="s">
        <v>22</v>
      </c>
      <c r="B10" s="2">
        <v>1055300368</v>
      </c>
      <c r="C10" s="3" t="s">
        <v>23</v>
      </c>
      <c r="D10" s="3" t="s">
        <v>9</v>
      </c>
      <c r="E10" s="9">
        <v>81215.060111892031</v>
      </c>
      <c r="F10" s="10">
        <v>1.5</v>
      </c>
      <c r="G10" s="12">
        <v>0.21045</v>
      </c>
      <c r="H10" s="4">
        <f t="shared" si="0"/>
        <v>121822.59016783805</v>
      </c>
      <c r="I10" s="4">
        <v>17091.709400547679</v>
      </c>
    </row>
    <row r="11" spans="1:9" x14ac:dyDescent="0.3">
      <c r="A11" s="3" t="s">
        <v>24</v>
      </c>
      <c r="B11" s="3">
        <v>3020400516</v>
      </c>
      <c r="C11" s="3" t="s">
        <v>25</v>
      </c>
      <c r="D11" s="3" t="s">
        <v>9</v>
      </c>
      <c r="E11" s="9">
        <v>207906.19999999998</v>
      </c>
      <c r="F11" s="10">
        <v>0.46650000000000003</v>
      </c>
      <c r="G11" s="12">
        <v>6.5449950000000007E-2</v>
      </c>
      <c r="H11" s="4">
        <f t="shared" si="0"/>
        <v>96988.242299999998</v>
      </c>
      <c r="I11" s="4">
        <v>13607.45039469</v>
      </c>
    </row>
    <row r="12" spans="1:9" x14ac:dyDescent="0.3">
      <c r="A12" s="2" t="s">
        <v>26</v>
      </c>
      <c r="B12" s="2">
        <v>1055300288</v>
      </c>
      <c r="C12" s="3" t="s">
        <v>27</v>
      </c>
      <c r="D12" s="3" t="s">
        <v>9</v>
      </c>
      <c r="E12" s="9">
        <v>55677.837964696373</v>
      </c>
      <c r="F12" s="10">
        <v>1.47</v>
      </c>
      <c r="G12" s="12">
        <v>0.20624100000000001</v>
      </c>
      <c r="H12" s="4">
        <f t="shared" si="0"/>
        <v>81846.421808103667</v>
      </c>
      <c r="I12" s="4">
        <v>11483.052979676944</v>
      </c>
    </row>
    <row r="13" spans="1:9" x14ac:dyDescent="0.3">
      <c r="A13" s="2" t="s">
        <v>28</v>
      </c>
      <c r="B13" s="2">
        <v>1055400636</v>
      </c>
      <c r="C13" s="3" t="s">
        <v>29</v>
      </c>
      <c r="D13" s="3" t="s">
        <v>9</v>
      </c>
      <c r="E13" s="9">
        <v>81215.060111892031</v>
      </c>
      <c r="F13" s="10">
        <v>1</v>
      </c>
      <c r="G13" s="11">
        <v>0.14030000000000001</v>
      </c>
      <c r="H13" s="4">
        <f t="shared" si="0"/>
        <v>81215.060111892031</v>
      </c>
      <c r="I13" s="4">
        <v>11394.472933698453</v>
      </c>
    </row>
    <row r="14" spans="1:9" x14ac:dyDescent="0.3">
      <c r="A14" s="3" t="s">
        <v>30</v>
      </c>
      <c r="B14" s="3">
        <v>1055400728</v>
      </c>
      <c r="C14" s="3" t="s">
        <v>31</v>
      </c>
      <c r="D14" s="3" t="s">
        <v>9</v>
      </c>
      <c r="E14" s="9">
        <v>9040.0001000720986</v>
      </c>
      <c r="F14" s="10">
        <v>6.32</v>
      </c>
      <c r="G14" s="12">
        <v>0.88669600000000004</v>
      </c>
      <c r="H14" s="4">
        <f t="shared" si="0"/>
        <v>57132.800632455663</v>
      </c>
      <c r="I14" s="4">
        <v>8015.7319287335295</v>
      </c>
    </row>
    <row r="15" spans="1:9" x14ac:dyDescent="0.3">
      <c r="A15" s="3" t="s">
        <v>32</v>
      </c>
      <c r="B15" s="3">
        <v>1055400729</v>
      </c>
      <c r="C15" s="3" t="s">
        <v>33</v>
      </c>
      <c r="D15" s="3" t="s">
        <v>9</v>
      </c>
      <c r="E15" s="9">
        <v>9040.0001000720986</v>
      </c>
      <c r="F15" s="10">
        <v>6.32</v>
      </c>
      <c r="G15" s="12">
        <v>0.88669600000000004</v>
      </c>
      <c r="H15" s="4">
        <f t="shared" si="0"/>
        <v>57132.800632455663</v>
      </c>
      <c r="I15" s="4">
        <v>8015.7319287335295</v>
      </c>
    </row>
    <row r="16" spans="1:9" x14ac:dyDescent="0.3">
      <c r="A16" s="2" t="s">
        <v>34</v>
      </c>
      <c r="B16" s="2">
        <v>3055400143</v>
      </c>
      <c r="C16" s="3" t="s">
        <v>35</v>
      </c>
      <c r="D16" s="3" t="s">
        <v>9</v>
      </c>
      <c r="E16" s="9">
        <v>28806.749999999996</v>
      </c>
      <c r="F16" s="10">
        <v>1.8920000000000001</v>
      </c>
      <c r="G16" s="12">
        <v>0.26544760000000001</v>
      </c>
      <c r="H16" s="4">
        <f t="shared" si="0"/>
        <v>54502.370999999999</v>
      </c>
      <c r="I16" s="4">
        <v>7646.6826512999996</v>
      </c>
    </row>
    <row r="17" spans="1:9" x14ac:dyDescent="0.3">
      <c r="A17" s="3" t="s">
        <v>36</v>
      </c>
      <c r="B17" s="3">
        <v>1055401027</v>
      </c>
      <c r="C17" s="3" t="s">
        <v>37</v>
      </c>
      <c r="D17" s="3" t="s">
        <v>9</v>
      </c>
      <c r="E17" s="9">
        <v>9999.9996344499687</v>
      </c>
      <c r="F17" s="10">
        <v>5.24</v>
      </c>
      <c r="G17" s="11">
        <v>0.73517200000000005</v>
      </c>
      <c r="H17" s="4">
        <f t="shared" si="0"/>
        <v>52399.998084517836</v>
      </c>
      <c r="I17" s="4">
        <v>7351.7197312578528</v>
      </c>
    </row>
    <row r="18" spans="1:9" x14ac:dyDescent="0.3">
      <c r="A18" s="3" t="s">
        <v>38</v>
      </c>
      <c r="B18" s="3">
        <v>1055400730</v>
      </c>
      <c r="C18" s="3" t="s">
        <v>39</v>
      </c>
      <c r="D18" s="3" t="s">
        <v>9</v>
      </c>
      <c r="E18" s="9">
        <v>9040.0001000720986</v>
      </c>
      <c r="F18" s="10">
        <v>5.74</v>
      </c>
      <c r="G18" s="11">
        <v>0.80532200000000009</v>
      </c>
      <c r="H18" s="4">
        <f t="shared" si="0"/>
        <v>51889.600574413846</v>
      </c>
      <c r="I18" s="4">
        <v>7280.1109605902639</v>
      </c>
    </row>
    <row r="19" spans="1:9" x14ac:dyDescent="0.3">
      <c r="A19" s="2" t="s">
        <v>40</v>
      </c>
      <c r="B19" s="2">
        <v>3052400925</v>
      </c>
      <c r="C19" s="3" t="s">
        <v>41</v>
      </c>
      <c r="D19" s="3" t="s">
        <v>9</v>
      </c>
      <c r="E19" s="9">
        <v>28806.749999999996</v>
      </c>
      <c r="F19" s="10">
        <v>1.131</v>
      </c>
      <c r="G19" s="11">
        <v>0.1586793</v>
      </c>
      <c r="H19" s="4">
        <f t="shared" si="0"/>
        <v>32580.434249999995</v>
      </c>
      <c r="I19" s="4">
        <v>4571.0349252749993</v>
      </c>
    </row>
    <row r="20" spans="1:9" x14ac:dyDescent="0.3">
      <c r="A20" s="2" t="s">
        <v>42</v>
      </c>
      <c r="B20" s="2">
        <v>2010400249</v>
      </c>
      <c r="C20" s="3" t="s">
        <v>43</v>
      </c>
      <c r="D20" s="3" t="s">
        <v>9</v>
      </c>
      <c r="E20" s="9">
        <v>148950.5000000002</v>
      </c>
      <c r="F20" s="10">
        <v>0.20499999999999999</v>
      </c>
      <c r="G20" s="12">
        <v>2.8761499999999999E-2</v>
      </c>
      <c r="H20" s="4">
        <f t="shared" si="0"/>
        <v>30534.852500000041</v>
      </c>
      <c r="I20" s="4">
        <v>4284.0398057500061</v>
      </c>
    </row>
    <row r="21" spans="1:9" x14ac:dyDescent="0.3">
      <c r="A21" s="3" t="s">
        <v>44</v>
      </c>
      <c r="B21" s="3">
        <v>1055400836</v>
      </c>
      <c r="C21" s="3" t="s">
        <v>45</v>
      </c>
      <c r="D21" s="3" t="s">
        <v>9</v>
      </c>
      <c r="E21" s="9">
        <v>7659.5000105526851</v>
      </c>
      <c r="F21" s="10">
        <v>3.6</v>
      </c>
      <c r="G21" s="12">
        <v>0.50508000000000008</v>
      </c>
      <c r="H21" s="4">
        <f t="shared" si="0"/>
        <v>27574.200037989667</v>
      </c>
      <c r="I21" s="4">
        <v>3868.660265329951</v>
      </c>
    </row>
    <row r="22" spans="1:9" x14ac:dyDescent="0.3">
      <c r="A22" s="2" t="s">
        <v>46</v>
      </c>
      <c r="B22" s="2">
        <v>1055400644</v>
      </c>
      <c r="C22" s="3" t="s">
        <v>47</v>
      </c>
      <c r="D22" s="3" t="s">
        <v>9</v>
      </c>
      <c r="E22" s="9">
        <v>81215.060111892031</v>
      </c>
      <c r="F22" s="10">
        <v>0.3</v>
      </c>
      <c r="G22" s="11">
        <v>4.2090000000000002E-2</v>
      </c>
      <c r="H22" s="4">
        <f t="shared" si="0"/>
        <v>24364.518033567609</v>
      </c>
      <c r="I22" s="4">
        <v>3418.3418801095359</v>
      </c>
    </row>
    <row r="23" spans="1:9" x14ac:dyDescent="0.3">
      <c r="A23" s="2" t="s">
        <v>48</v>
      </c>
      <c r="B23" s="2">
        <v>1055400685</v>
      </c>
      <c r="C23" s="3" t="s">
        <v>49</v>
      </c>
      <c r="D23" s="3" t="s">
        <v>9</v>
      </c>
      <c r="E23" s="9">
        <v>55677.837964696373</v>
      </c>
      <c r="F23" s="10">
        <v>0.43</v>
      </c>
      <c r="G23" s="11">
        <v>6.0329000000000001E-2</v>
      </c>
      <c r="H23" s="4">
        <f t="shared" si="0"/>
        <v>23941.470324819438</v>
      </c>
      <c r="I23" s="4">
        <v>3358.9882865721675</v>
      </c>
    </row>
    <row r="24" spans="1:9" x14ac:dyDescent="0.3">
      <c r="A24" s="2" t="s">
        <v>50</v>
      </c>
      <c r="B24" s="2">
        <v>1055400635</v>
      </c>
      <c r="C24" s="3" t="s">
        <v>51</v>
      </c>
      <c r="D24" s="3" t="s">
        <v>9</v>
      </c>
      <c r="E24" s="9">
        <v>55677.837964696373</v>
      </c>
      <c r="F24" s="10">
        <v>0.4</v>
      </c>
      <c r="G24" s="12">
        <v>5.6120000000000003E-2</v>
      </c>
      <c r="H24" s="4">
        <f t="shared" si="0"/>
        <v>22271.135185878549</v>
      </c>
      <c r="I24" s="4">
        <v>3124.6402665787605</v>
      </c>
    </row>
    <row r="25" spans="1:9" x14ac:dyDescent="0.3">
      <c r="A25" s="2" t="s">
        <v>52</v>
      </c>
      <c r="B25" s="2">
        <v>2038400050</v>
      </c>
      <c r="C25" s="3" t="s">
        <v>53</v>
      </c>
      <c r="D25" s="2" t="s">
        <v>9</v>
      </c>
      <c r="E25" s="9">
        <v>33353.200000000048</v>
      </c>
      <c r="F25" s="10">
        <v>0.59000000000000008</v>
      </c>
      <c r="G25" s="12">
        <v>8.2777000000000017E-2</v>
      </c>
      <c r="H25" s="4">
        <f t="shared" si="0"/>
        <v>19678.388000000032</v>
      </c>
      <c r="I25" s="4">
        <v>2760.8778364000045</v>
      </c>
    </row>
    <row r="26" spans="1:9" x14ac:dyDescent="0.3">
      <c r="A26" s="2" t="s">
        <v>54</v>
      </c>
      <c r="B26" s="2">
        <v>6038400543</v>
      </c>
      <c r="C26" s="3" t="s">
        <v>55</v>
      </c>
      <c r="D26" s="3" t="s">
        <v>9</v>
      </c>
      <c r="E26" s="9">
        <v>24304</v>
      </c>
      <c r="F26" s="10">
        <v>0.69499999999999995</v>
      </c>
      <c r="G26" s="12">
        <v>9.7508499999999998E-2</v>
      </c>
      <c r="H26" s="4">
        <f t="shared" si="0"/>
        <v>16891.28</v>
      </c>
      <c r="I26" s="4">
        <v>2369.8465839999999</v>
      </c>
    </row>
    <row r="27" spans="1:9" x14ac:dyDescent="0.3">
      <c r="A27" s="2" t="s">
        <v>56</v>
      </c>
      <c r="B27" s="2">
        <v>6038400544</v>
      </c>
      <c r="C27" s="3" t="s">
        <v>57</v>
      </c>
      <c r="D27" s="3" t="s">
        <v>9</v>
      </c>
      <c r="E27" s="9">
        <v>24304</v>
      </c>
      <c r="F27" s="10">
        <v>0.55500000000000005</v>
      </c>
      <c r="G27" s="12">
        <v>7.7866500000000005E-2</v>
      </c>
      <c r="H27" s="4">
        <f t="shared" si="0"/>
        <v>13488.720000000001</v>
      </c>
      <c r="I27" s="4">
        <v>1892.4674160000002</v>
      </c>
    </row>
    <row r="28" spans="1:9" x14ac:dyDescent="0.3">
      <c r="A28" s="3" t="s">
        <v>58</v>
      </c>
      <c r="B28" s="3">
        <v>1055300474</v>
      </c>
      <c r="C28" s="3" t="s">
        <v>59</v>
      </c>
      <c r="D28" s="3" t="s">
        <v>9</v>
      </c>
      <c r="E28" s="9">
        <v>9999.9996344499687</v>
      </c>
      <c r="F28" s="10">
        <v>1.34</v>
      </c>
      <c r="G28" s="12">
        <v>0.18800200000000003</v>
      </c>
      <c r="H28" s="4">
        <f t="shared" si="0"/>
        <v>13399.999510162959</v>
      </c>
      <c r="I28" s="4">
        <v>1880.0199312758632</v>
      </c>
    </row>
    <row r="29" spans="1:9" x14ac:dyDescent="0.3">
      <c r="A29" s="3" t="s">
        <v>60</v>
      </c>
      <c r="B29" s="3">
        <v>1055401028</v>
      </c>
      <c r="C29" s="3" t="s">
        <v>61</v>
      </c>
      <c r="D29" s="3" t="s">
        <v>9</v>
      </c>
      <c r="E29" s="9">
        <v>9999.9996344499687</v>
      </c>
      <c r="F29" s="10">
        <v>1.02</v>
      </c>
      <c r="G29" s="12">
        <v>0.14310600000000001</v>
      </c>
      <c r="H29" s="4">
        <f t="shared" si="0"/>
        <v>10199.999627138968</v>
      </c>
      <c r="I29" s="4">
        <v>1431.0599476875973</v>
      </c>
    </row>
    <row r="30" spans="1:9" x14ac:dyDescent="0.3">
      <c r="A30" s="3" t="s">
        <v>62</v>
      </c>
      <c r="B30" s="3">
        <v>2038400289</v>
      </c>
      <c r="C30" s="3" t="s">
        <v>57</v>
      </c>
      <c r="D30" s="3" t="s">
        <v>9</v>
      </c>
      <c r="E30" s="9">
        <v>10000.000000000015</v>
      </c>
      <c r="F30" s="10">
        <v>0.624</v>
      </c>
      <c r="G30" s="12">
        <v>8.7547200000000006E-2</v>
      </c>
      <c r="H30" s="4">
        <f t="shared" si="0"/>
        <v>6240.0000000000091</v>
      </c>
      <c r="I30" s="4">
        <v>875.47200000000134</v>
      </c>
    </row>
    <row r="31" spans="1:9" x14ac:dyDescent="0.3">
      <c r="A31" s="2" t="s">
        <v>63</v>
      </c>
      <c r="B31" s="2">
        <v>1055400740</v>
      </c>
      <c r="C31" s="3" t="s">
        <v>64</v>
      </c>
      <c r="D31" s="3" t="s">
        <v>9</v>
      </c>
      <c r="E31" s="9">
        <v>27120.000300216296</v>
      </c>
      <c r="F31" s="10">
        <v>0.22</v>
      </c>
      <c r="G31" s="12">
        <v>3.0866000000000001E-2</v>
      </c>
      <c r="H31" s="4">
        <f t="shared" si="0"/>
        <v>5966.4000660475849</v>
      </c>
      <c r="I31" s="4">
        <v>837.08592926647623</v>
      </c>
    </row>
    <row r="32" spans="1:9" x14ac:dyDescent="0.3">
      <c r="A32" s="3" t="s">
        <v>65</v>
      </c>
      <c r="B32" s="3">
        <v>2038400288</v>
      </c>
      <c r="C32" s="3" t="s">
        <v>55</v>
      </c>
      <c r="D32" s="3" t="s">
        <v>9</v>
      </c>
      <c r="E32" s="9">
        <v>10000.000000000015</v>
      </c>
      <c r="F32" s="10">
        <v>0.57999999999999996</v>
      </c>
      <c r="G32" s="12">
        <v>8.1374000000000002E-2</v>
      </c>
      <c r="H32" s="4">
        <f t="shared" si="0"/>
        <v>5800.0000000000082</v>
      </c>
      <c r="I32" s="4">
        <v>813.74000000000126</v>
      </c>
    </row>
    <row r="33" spans="1:9" x14ac:dyDescent="0.3">
      <c r="A33" s="3" t="s">
        <v>66</v>
      </c>
      <c r="B33" s="3">
        <v>3010400653</v>
      </c>
      <c r="C33" s="3" t="s">
        <v>67</v>
      </c>
      <c r="D33" s="3" t="s">
        <v>9</v>
      </c>
      <c r="E33" s="9">
        <v>8964</v>
      </c>
      <c r="F33" s="10">
        <v>0.57799999999999996</v>
      </c>
      <c r="G33" s="12">
        <v>8.1093399999999996E-2</v>
      </c>
      <c r="H33" s="4">
        <f t="shared" si="0"/>
        <v>5181.192</v>
      </c>
      <c r="I33" s="4">
        <v>726.92123759999993</v>
      </c>
    </row>
    <row r="34" spans="1:9" x14ac:dyDescent="0.3">
      <c r="A34" s="3" t="s">
        <v>68</v>
      </c>
      <c r="B34" s="3">
        <v>1055401030</v>
      </c>
      <c r="C34" s="3" t="s">
        <v>69</v>
      </c>
      <c r="D34" s="3" t="s">
        <v>9</v>
      </c>
      <c r="E34" s="9">
        <v>9999.9996344499687</v>
      </c>
      <c r="F34" s="10">
        <v>0.45</v>
      </c>
      <c r="G34" s="11">
        <v>6.3135000000000011E-2</v>
      </c>
      <c r="H34" s="4">
        <f t="shared" si="0"/>
        <v>4499.9998355024863</v>
      </c>
      <c r="I34" s="4">
        <v>631.34997692099887</v>
      </c>
    </row>
    <row r="35" spans="1:9" x14ac:dyDescent="0.3">
      <c r="A35" s="3" t="s">
        <v>70</v>
      </c>
      <c r="B35" s="3">
        <v>3010400588</v>
      </c>
      <c r="C35" s="3" t="s">
        <v>71</v>
      </c>
      <c r="D35" s="3" t="s">
        <v>9</v>
      </c>
      <c r="E35" s="9">
        <v>7303</v>
      </c>
      <c r="F35" s="10">
        <v>0.36</v>
      </c>
      <c r="G35" s="11">
        <v>5.0507999999999997E-2</v>
      </c>
      <c r="H35" s="4">
        <f t="shared" si="0"/>
        <v>2629.08</v>
      </c>
      <c r="I35" s="4">
        <v>368.85992399999998</v>
      </c>
    </row>
    <row r="36" spans="1:9" x14ac:dyDescent="0.3">
      <c r="A36" s="3" t="s">
        <v>72</v>
      </c>
      <c r="B36" s="3">
        <v>2038400316</v>
      </c>
      <c r="C36" s="3" t="s">
        <v>73</v>
      </c>
      <c r="D36" s="3" t="s">
        <v>9</v>
      </c>
      <c r="E36" s="9">
        <v>3649.0000000000045</v>
      </c>
      <c r="F36" s="10">
        <v>0.70199999999999996</v>
      </c>
      <c r="G36" s="11">
        <v>9.8490599999999998E-2</v>
      </c>
      <c r="H36" s="4">
        <f t="shared" si="0"/>
        <v>2561.5980000000031</v>
      </c>
      <c r="I36" s="4">
        <v>359.39219940000044</v>
      </c>
    </row>
    <row r="37" spans="1:9" x14ac:dyDescent="0.3">
      <c r="A37" s="3" t="s">
        <v>74</v>
      </c>
      <c r="B37" s="3">
        <v>2038400315</v>
      </c>
      <c r="C37" s="3" t="s">
        <v>57</v>
      </c>
      <c r="D37" s="3" t="s">
        <v>9</v>
      </c>
      <c r="E37" s="9">
        <v>3649.0000000000045</v>
      </c>
      <c r="F37" s="10">
        <v>0.66900000000000004</v>
      </c>
      <c r="G37" s="11">
        <v>9.3860700000000005E-2</v>
      </c>
      <c r="H37" s="4">
        <f t="shared" si="0"/>
        <v>2441.1810000000032</v>
      </c>
      <c r="I37" s="4">
        <v>342.49769430000043</v>
      </c>
    </row>
    <row r="38" spans="1:9" x14ac:dyDescent="0.3">
      <c r="A38" s="3" t="s">
        <v>75</v>
      </c>
      <c r="B38" s="3">
        <v>2038400297</v>
      </c>
      <c r="C38" s="3" t="s">
        <v>76</v>
      </c>
      <c r="D38" s="3" t="s">
        <v>9</v>
      </c>
      <c r="E38" s="9">
        <v>400.00000000000051</v>
      </c>
      <c r="F38" s="10">
        <v>1.24</v>
      </c>
      <c r="G38" s="11">
        <v>0.17397200000000002</v>
      </c>
      <c r="H38" s="4">
        <f t="shared" si="0"/>
        <v>496.00000000000063</v>
      </c>
      <c r="I38" s="4">
        <v>69.588800000000091</v>
      </c>
    </row>
    <row r="39" spans="1:9" x14ac:dyDescent="0.3">
      <c r="A39" s="3" t="s">
        <v>77</v>
      </c>
      <c r="B39" s="3">
        <v>2034400009</v>
      </c>
      <c r="C39" s="3" t="s">
        <v>73</v>
      </c>
      <c r="D39" s="3" t="s">
        <v>9</v>
      </c>
      <c r="E39" s="9">
        <v>50.000000000000064</v>
      </c>
      <c r="F39" s="10">
        <v>0.82</v>
      </c>
      <c r="G39" s="11">
        <v>0.115046</v>
      </c>
      <c r="H39" s="4">
        <f t="shared" si="0"/>
        <v>41.00000000000005</v>
      </c>
      <c r="I39" s="4">
        <v>5.7523000000000071</v>
      </c>
    </row>
    <row r="40" spans="1:9" x14ac:dyDescent="0.3">
      <c r="A40" s="3" t="s">
        <v>78</v>
      </c>
      <c r="B40" s="3">
        <v>2034400021</v>
      </c>
      <c r="C40" s="3" t="s">
        <v>79</v>
      </c>
      <c r="D40" s="3" t="s">
        <v>9</v>
      </c>
      <c r="E40" s="9">
        <v>50.000000000000064</v>
      </c>
      <c r="F40" s="10">
        <v>0.62</v>
      </c>
      <c r="G40" s="11">
        <v>8.6986000000000008E-2</v>
      </c>
      <c r="H40" s="4">
        <f t="shared" si="0"/>
        <v>31.000000000000039</v>
      </c>
      <c r="I40" s="4">
        <v>4.3493000000000057</v>
      </c>
    </row>
    <row r="41" spans="1:9" x14ac:dyDescent="0.3">
      <c r="A41" s="3" t="s">
        <v>80</v>
      </c>
      <c r="B41" s="3">
        <v>2034400011</v>
      </c>
      <c r="C41" s="3" t="s">
        <v>81</v>
      </c>
      <c r="D41" s="3" t="s">
        <v>9</v>
      </c>
      <c r="E41" s="9">
        <v>50.000000000000064</v>
      </c>
      <c r="F41" s="10">
        <v>0.34</v>
      </c>
      <c r="G41" s="11">
        <v>4.7702000000000008E-2</v>
      </c>
      <c r="H41" s="4">
        <f t="shared" si="0"/>
        <v>17.000000000000021</v>
      </c>
      <c r="I41" s="4">
        <v>2.3851000000000036</v>
      </c>
    </row>
    <row r="42" spans="1:9" x14ac:dyDescent="0.3">
      <c r="A42" s="3" t="s">
        <v>82</v>
      </c>
      <c r="B42" s="3">
        <v>2034400012</v>
      </c>
      <c r="C42" s="3" t="s">
        <v>83</v>
      </c>
      <c r="D42" s="3" t="s">
        <v>9</v>
      </c>
      <c r="E42" s="9">
        <v>50.000000000000064</v>
      </c>
      <c r="F42" s="10">
        <v>0.33</v>
      </c>
      <c r="G42" s="11">
        <v>4.6299000000000007E-2</v>
      </c>
      <c r="H42" s="4">
        <f t="shared" si="0"/>
        <v>16.500000000000021</v>
      </c>
      <c r="I42" s="4">
        <v>2.3149500000000032</v>
      </c>
    </row>
    <row r="43" spans="1:9" x14ac:dyDescent="0.3">
      <c r="G43" s="13" t="s">
        <v>86</v>
      </c>
      <c r="H43" s="14">
        <f>SUM(H3:H42)</f>
        <v>3310978.8850946426</v>
      </c>
      <c r="I43" s="14">
        <f>SUM(I3:I42)</f>
        <v>464530.33757877833</v>
      </c>
    </row>
  </sheetData>
  <mergeCells count="9">
    <mergeCell ref="I1:I2"/>
    <mergeCell ref="G1:G2"/>
    <mergeCell ref="H1:H2"/>
    <mergeCell ref="A1:A2"/>
    <mergeCell ref="B1:B2"/>
    <mergeCell ref="C1:C2"/>
    <mergeCell ref="D1:D2"/>
    <mergeCell ref="E1:E2"/>
    <mergeCell ref="F1:F2"/>
  </mergeCells>
  <conditionalFormatting sqref="B3:B42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2026-06-02T08:53:32Z</dcterms:modified>
</cp:coreProperties>
</file>