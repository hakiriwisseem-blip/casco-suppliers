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38F9AAEE-BF1B-4CC6-B8B5-4B0CD84ED5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</calcChain>
</file>

<file path=xl/sharedStrings.xml><?xml version="1.0" encoding="utf-8"?>
<sst xmlns="http://schemas.openxmlformats.org/spreadsheetml/2006/main" count="71" uniqueCount="47">
  <si>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</si>
  <si>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</si>
  <si>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</si>
  <si>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</si>
  <si>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</si>
  <si>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</si>
  <si>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</si>
  <si>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1055400589-01</t>
  </si>
  <si>
    <t xml:space="preserve">GND Terminal </t>
  </si>
  <si>
    <t>KUNSHAN YU KAI H/W SPRING</t>
  </si>
  <si>
    <t>2020400333-00</t>
  </si>
  <si>
    <t xml:space="preserve">INSOLATION DISC </t>
  </si>
  <si>
    <t>1055400588-01</t>
  </si>
  <si>
    <t xml:space="preserve">Neutral Terminal </t>
  </si>
  <si>
    <t>1055400772-01</t>
  </si>
  <si>
    <t xml:space="preserve">AC Terminal </t>
  </si>
  <si>
    <t>1055400641-00</t>
  </si>
  <si>
    <t xml:space="preserve"> AC TERMINAL </t>
  </si>
  <si>
    <t>3073400191-01</t>
  </si>
  <si>
    <t>SPRING [3073400191]</t>
  </si>
  <si>
    <t>1055400643-AA</t>
  </si>
  <si>
    <t xml:space="preserve">Wire spring </t>
  </si>
  <si>
    <t>3020400699-00</t>
  </si>
  <si>
    <t>SPRING</t>
  </si>
  <si>
    <t>1055400642-00</t>
  </si>
  <si>
    <t>2010400657-00</t>
  </si>
  <si>
    <t>WASHER [9470132]</t>
  </si>
  <si>
    <t>1055400587-01</t>
  </si>
  <si>
    <t>PIN</t>
  </si>
  <si>
    <t>1055400837-AA</t>
  </si>
  <si>
    <t>1055400677-00</t>
  </si>
  <si>
    <t>T-HOLDER VW  Pin</t>
  </si>
  <si>
    <t>1055400624-01</t>
  </si>
  <si>
    <t>3.6KW HVPO HINGE SPRING Stellantis</t>
  </si>
  <si>
    <t>3055400146-00</t>
  </si>
  <si>
    <t xml:space="preserve">AC TERMINAL,HVPO,920B </t>
  </si>
  <si>
    <t>1055400889-00</t>
  </si>
  <si>
    <t xml:space="preserve">PIN VW UK </t>
  </si>
  <si>
    <t>1055400590-01</t>
  </si>
  <si>
    <t>3052400941-01</t>
  </si>
  <si>
    <t>1055400173-00</t>
  </si>
  <si>
    <t>HVPO BP COVER SPRING Stellantis 68581522AA</t>
  </si>
  <si>
    <t>1055400890-00</t>
  </si>
  <si>
    <t xml:space="preserve">WIRE SPRING VW UK </t>
  </si>
  <si>
    <t>3020400557-00</t>
  </si>
  <si>
    <t>SPRING [3020400557]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</si>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</sst>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2" fillId="3" borderId="5" xfId="0" applyFont="1" applyFill="1" applyBorder="1"/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J11" sqref="J11"/>
    </sheetView>
  </sheetViews>
  <sheetFormatPr defaultRowHeight="14.4" x14ac:dyDescent="0.3"/>
  <cols>
    <col min="1" max="1" width="14.6640625" customWidth="1"/>
    <col min="2" max="2" width="18.33203125" customWidth="1"/>
    <col min="3" max="3" width="18.6640625" customWidth="1"/>
    <col min="4" max="4" width="25.44140625" customWidth="1"/>
    <col min="5" max="5" width="11.44140625" customWidth="1"/>
    <col min="6" max="6" width="8.8867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1055400589</v>
      </c>
      <c r="C3" s="7" t="s">
        <v>8</v>
      </c>
      <c r="D3" s="7" t="s">
        <v>9</v>
      </c>
      <c r="E3" s="8">
        <v>327773.35801824345</v>
      </c>
      <c r="F3" s="11">
        <v>0.57489999999999997</v>
      </c>
      <c r="G3" s="10">
        <v>188436.90352468815</v>
      </c>
    </row>
    <row r="4" spans="1:7" x14ac:dyDescent="0.3">
      <c r="A4" s="6" t="s">
        <v>10</v>
      </c>
      <c r="B4" s="6">
        <v>2020400333</v>
      </c>
      <c r="C4" s="7" t="s">
        <v>11</v>
      </c>
      <c r="D4" s="7" t="s">
        <v>9</v>
      </c>
      <c r="E4" s="8">
        <v>2420636.200000003</v>
      </c>
      <c r="F4" s="9">
        <v>2.5999999999999999E-2</v>
      </c>
      <c r="G4" s="10">
        <v>62936.541200000072</v>
      </c>
    </row>
    <row r="5" spans="1:7" x14ac:dyDescent="0.3">
      <c r="A5" s="6" t="s">
        <v>12</v>
      </c>
      <c r="B5" s="6">
        <v>1055400588</v>
      </c>
      <c r="C5" s="7" t="s">
        <v>13</v>
      </c>
      <c r="D5" s="7" t="s">
        <v>9</v>
      </c>
      <c r="E5" s="8">
        <v>327773.35801824345</v>
      </c>
      <c r="F5" s="11">
        <v>0.10879999999999999</v>
      </c>
      <c r="G5" s="10">
        <v>35661.741352384888</v>
      </c>
    </row>
    <row r="6" spans="1:7" x14ac:dyDescent="0.3">
      <c r="A6" s="6" t="s">
        <v>14</v>
      </c>
      <c r="B6" s="6">
        <v>1055400772</v>
      </c>
      <c r="C6" s="7" t="s">
        <v>15</v>
      </c>
      <c r="D6" s="7" t="s">
        <v>9</v>
      </c>
      <c r="E6" s="8">
        <v>327773.35801824345</v>
      </c>
      <c r="F6" s="9">
        <v>0.10879999999999999</v>
      </c>
      <c r="G6" s="10">
        <v>35661.741352384888</v>
      </c>
    </row>
    <row r="7" spans="1:7" x14ac:dyDescent="0.3">
      <c r="A7" s="6" t="s">
        <v>16</v>
      </c>
      <c r="B7" s="6">
        <v>1055400641</v>
      </c>
      <c r="C7" s="7" t="s">
        <v>17</v>
      </c>
      <c r="D7" s="7" t="s">
        <v>9</v>
      </c>
      <c r="E7" s="8">
        <v>162430.12022378406</v>
      </c>
      <c r="F7" s="11">
        <v>0.14899999999999999</v>
      </c>
      <c r="G7" s="10">
        <v>24202.087913343825</v>
      </c>
    </row>
    <row r="8" spans="1:7" x14ac:dyDescent="0.3">
      <c r="A8" s="6" t="s">
        <v>18</v>
      </c>
      <c r="B8" s="6">
        <v>3073400191</v>
      </c>
      <c r="C8" s="7" t="s">
        <v>19</v>
      </c>
      <c r="D8" s="7" t="s">
        <v>9</v>
      </c>
      <c r="E8" s="8">
        <v>751519</v>
      </c>
      <c r="F8" s="9">
        <v>2.3E-2</v>
      </c>
      <c r="G8" s="10">
        <v>17284.936999999998</v>
      </c>
    </row>
    <row r="9" spans="1:7" x14ac:dyDescent="0.3">
      <c r="A9" s="6" t="s">
        <v>20</v>
      </c>
      <c r="B9" s="6">
        <v>1055400643</v>
      </c>
      <c r="C9" s="7" t="s">
        <v>21</v>
      </c>
      <c r="D9" s="7" t="s">
        <v>9</v>
      </c>
      <c r="E9" s="8">
        <v>81215.060111892031</v>
      </c>
      <c r="F9" s="11">
        <v>0.185</v>
      </c>
      <c r="G9" s="10">
        <v>15024.786120700026</v>
      </c>
    </row>
    <row r="10" spans="1:7" x14ac:dyDescent="0.3">
      <c r="A10" s="6" t="s">
        <v>22</v>
      </c>
      <c r="B10" s="6">
        <v>3020400699</v>
      </c>
      <c r="C10" s="7" t="s">
        <v>23</v>
      </c>
      <c r="D10" s="7" t="s">
        <v>9</v>
      </c>
      <c r="E10" s="8">
        <v>1140645</v>
      </c>
      <c r="F10" s="11">
        <v>1.2999999999999999E-2</v>
      </c>
      <c r="G10" s="10">
        <v>14828.385</v>
      </c>
    </row>
    <row r="11" spans="1:7" x14ac:dyDescent="0.3">
      <c r="A11" s="6" t="s">
        <v>24</v>
      </c>
      <c r="B11" s="6">
        <v>1055400642</v>
      </c>
      <c r="C11" s="7" t="s">
        <v>8</v>
      </c>
      <c r="D11" s="7" t="s">
        <v>9</v>
      </c>
      <c r="E11" s="8">
        <v>81215.060111892031</v>
      </c>
      <c r="F11" s="11">
        <v>0.17799999999999999</v>
      </c>
      <c r="G11" s="10">
        <v>14456.280699916781</v>
      </c>
    </row>
    <row r="12" spans="1:7" x14ac:dyDescent="0.3">
      <c r="A12" s="6" t="s">
        <v>25</v>
      </c>
      <c r="B12" s="6">
        <v>2010400657</v>
      </c>
      <c r="C12" s="7" t="s">
        <v>26</v>
      </c>
      <c r="D12" s="7" t="s">
        <v>9</v>
      </c>
      <c r="E12" s="8">
        <v>1563047.12</v>
      </c>
      <c r="F12" s="9">
        <v>9.1000000000000004E-3</v>
      </c>
      <c r="G12" s="10">
        <v>14223.728792000002</v>
      </c>
    </row>
    <row r="13" spans="1:7" x14ac:dyDescent="0.3">
      <c r="A13" s="6" t="s">
        <v>27</v>
      </c>
      <c r="B13" s="6">
        <v>1055400587</v>
      </c>
      <c r="C13" s="7" t="s">
        <v>28</v>
      </c>
      <c r="D13" s="7" t="s">
        <v>9</v>
      </c>
      <c r="E13" s="8">
        <v>337773.35765269335</v>
      </c>
      <c r="F13" s="9">
        <v>4.1000000000000002E-2</v>
      </c>
      <c r="G13" s="10">
        <v>13848.707663760428</v>
      </c>
    </row>
    <row r="14" spans="1:7" x14ac:dyDescent="0.3">
      <c r="A14" s="6" t="s">
        <v>29</v>
      </c>
      <c r="B14" s="6">
        <v>1055400837</v>
      </c>
      <c r="C14" s="7" t="s">
        <v>28</v>
      </c>
      <c r="D14" s="7" t="s">
        <v>9</v>
      </c>
      <c r="E14" s="8">
        <v>81215.060111892031</v>
      </c>
      <c r="F14" s="11">
        <v>0.1153</v>
      </c>
      <c r="G14" s="10">
        <v>9364.0964309011506</v>
      </c>
    </row>
    <row r="15" spans="1:7" x14ac:dyDescent="0.3">
      <c r="A15" s="6" t="s">
        <v>30</v>
      </c>
      <c r="B15" s="6">
        <v>1055400677</v>
      </c>
      <c r="C15" s="7" t="s">
        <v>31</v>
      </c>
      <c r="D15" s="7" t="s">
        <v>9</v>
      </c>
      <c r="E15" s="8">
        <v>55677.837964696373</v>
      </c>
      <c r="F15" s="9">
        <v>0.16695699999999999</v>
      </c>
      <c r="G15" s="10">
        <v>9295.8047930718112</v>
      </c>
    </row>
    <row r="16" spans="1:7" x14ac:dyDescent="0.3">
      <c r="A16" s="6" t="s">
        <v>32</v>
      </c>
      <c r="B16" s="6">
        <v>1055400624</v>
      </c>
      <c r="C16" s="7" t="s">
        <v>33</v>
      </c>
      <c r="D16" s="7" t="s">
        <v>9</v>
      </c>
      <c r="E16" s="8">
        <v>132371.13744263232</v>
      </c>
      <c r="F16" s="11">
        <v>5.8000000000000003E-2</v>
      </c>
      <c r="G16" s="10">
        <v>7677.525971672675</v>
      </c>
    </row>
    <row r="17" spans="1:7" x14ac:dyDescent="0.3">
      <c r="A17" s="6" t="s">
        <v>34</v>
      </c>
      <c r="B17" s="6">
        <v>3055400146</v>
      </c>
      <c r="C17" s="7" t="s">
        <v>35</v>
      </c>
      <c r="D17" s="7" t="s">
        <v>9</v>
      </c>
      <c r="E17" s="8">
        <v>28806.749999999996</v>
      </c>
      <c r="F17" s="9">
        <v>0.216</v>
      </c>
      <c r="G17" s="10">
        <v>6222.2579999999989</v>
      </c>
    </row>
    <row r="18" spans="1:7" x14ac:dyDescent="0.3">
      <c r="A18" s="6" t="s">
        <v>36</v>
      </c>
      <c r="B18" s="6">
        <v>1055400889</v>
      </c>
      <c r="C18" s="7" t="s">
        <v>37</v>
      </c>
      <c r="D18" s="7" t="s">
        <v>9</v>
      </c>
      <c r="E18" s="8">
        <v>55677.837964696373</v>
      </c>
      <c r="F18" s="11">
        <v>0.1</v>
      </c>
      <c r="G18" s="10">
        <v>5567.7837964696373</v>
      </c>
    </row>
    <row r="19" spans="1:7" x14ac:dyDescent="0.3">
      <c r="A19" s="6" t="s">
        <v>38</v>
      </c>
      <c r="B19" s="6">
        <v>1055400590</v>
      </c>
      <c r="C19" s="7" t="s">
        <v>21</v>
      </c>
      <c r="D19" s="7" t="s">
        <v>9</v>
      </c>
      <c r="E19" s="8">
        <v>327773.35801824345</v>
      </c>
      <c r="F19" s="11">
        <v>1.2E-2</v>
      </c>
      <c r="G19" s="10">
        <v>3933.2802962189216</v>
      </c>
    </row>
    <row r="20" spans="1:7" x14ac:dyDescent="0.3">
      <c r="A20" s="6" t="s">
        <v>39</v>
      </c>
      <c r="B20" s="6">
        <v>3052400941</v>
      </c>
      <c r="C20" s="7" t="s">
        <v>23</v>
      </c>
      <c r="D20" s="7" t="s">
        <v>9</v>
      </c>
      <c r="E20" s="8">
        <v>28806.749999999996</v>
      </c>
      <c r="F20" s="9">
        <v>7.3999999999999996E-2</v>
      </c>
      <c r="G20" s="10">
        <v>2131.6994999999997</v>
      </c>
    </row>
    <row r="21" spans="1:7" x14ac:dyDescent="0.3">
      <c r="A21" s="6" t="s">
        <v>40</v>
      </c>
      <c r="B21" s="6">
        <v>1055400173</v>
      </c>
      <c r="C21" s="7" t="s">
        <v>41</v>
      </c>
      <c r="D21" s="7" t="s">
        <v>9</v>
      </c>
      <c r="E21" s="8">
        <v>24022.400000000005</v>
      </c>
      <c r="F21" s="11">
        <v>5.2299999999999999E-2</v>
      </c>
      <c r="G21" s="10">
        <v>1256.3715200000001</v>
      </c>
    </row>
    <row r="22" spans="1:7" x14ac:dyDescent="0.3">
      <c r="A22" s="6" t="s">
        <v>42</v>
      </c>
      <c r="B22" s="6">
        <v>1055400890</v>
      </c>
      <c r="C22" s="7" t="s">
        <v>43</v>
      </c>
      <c r="D22" s="7" t="s">
        <v>9</v>
      </c>
      <c r="E22" s="8">
        <v>55677.837964696373</v>
      </c>
      <c r="F22" s="9">
        <v>1.7000000000000001E-2</v>
      </c>
      <c r="G22" s="10">
        <v>946.5232453998384</v>
      </c>
    </row>
    <row r="23" spans="1:7" x14ac:dyDescent="0.3">
      <c r="A23" s="6" t="s">
        <v>44</v>
      </c>
      <c r="B23" s="6">
        <v>3020400557</v>
      </c>
      <c r="C23" s="7" t="s">
        <v>45</v>
      </c>
      <c r="D23" s="7" t="s">
        <v>9</v>
      </c>
      <c r="E23" s="8">
        <v>15420.000000000002</v>
      </c>
      <c r="F23" s="9">
        <v>1.26E-2</v>
      </c>
      <c r="G23" s="10">
        <v>194.29200000000003</v>
      </c>
    </row>
    <row r="24" spans="1:7" x14ac:dyDescent="0.3">
      <c r="F24" s="12" t="s">
        <v>46</v>
      </c>
      <c r="G24" s="13">
        <f>SUM(G3:G23)</f>
        <v>483155.47617291292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5" priority="5"/>
    <cfRule type="duplicateValues" dxfId="4" priority="6"/>
  </conditionalFormatting>
  <conditionalFormatting sqref="B3:B2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2026-06-03T10:30:05Z</dcterms:modified>
</cp:coreProperties>
</file>