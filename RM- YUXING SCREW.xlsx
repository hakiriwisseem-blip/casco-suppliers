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Y:\Data_Info\11_Achat\supplier-management\RM\"/>
    </mc:Choice>
  </mc:AlternateContent>
  <xr:revisionPtr revIDLastSave="0" documentId="13_ncr:1_{2146106A-85BC-4EDC-B336-375A124C3A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</calcChain>
</file>

<file path=xl/sharedStrings.xml><?xml version="1.0" encoding="utf-8"?>
<sst xmlns="http://schemas.openxmlformats.org/spreadsheetml/2006/main" count="38" uniqueCount="29">
  <si>
    <t>CAT PN</t>
  </si>
  <si>
    <t>PN without Eng. Indices</t>
  </si>
  <si>
    <t>Description</t>
  </si>
  <si>
    <t>CAT Direct Supplier</t>
  </si>
  <si>
    <t>CY2026 Total demand (UM)</t>
  </si>
  <si>
    <t>Related Unit Price $</t>
  </si>
  <si>
    <t>Yearly Spend $</t>
  </si>
  <si>
    <t>2010400732-00</t>
  </si>
  <si>
    <t>RIVET [9172799]</t>
  </si>
  <si>
    <t>YUXING SCREW (XIAMEN) IND</t>
  </si>
  <si>
    <t>1020401192-00</t>
  </si>
  <si>
    <t xml:space="preserve">TAPTITE TORX PAN M3x10 </t>
  </si>
  <si>
    <t>2020401391-00</t>
  </si>
  <si>
    <t xml:space="preserve">SPECIAL RIVET </t>
  </si>
  <si>
    <t>1055600103-00</t>
  </si>
  <si>
    <t xml:space="preserve">Nut Hex Spring Washer M4 </t>
  </si>
  <si>
    <t>2010400711-00</t>
  </si>
  <si>
    <t>RIVET [9171066]</t>
  </si>
  <si>
    <t>3010400216-02</t>
  </si>
  <si>
    <t xml:space="preserve">STUD [3010400216] </t>
  </si>
  <si>
    <t>1052700280-02</t>
  </si>
  <si>
    <t xml:space="preserve">M3 screw </t>
  </si>
  <si>
    <t>1055400790-00</t>
  </si>
  <si>
    <t xml:space="preserve">PCB SPACER </t>
  </si>
  <si>
    <t>3010400441-01</t>
  </si>
  <si>
    <t>STUD</t>
  </si>
  <si>
    <t>6010401283-00</t>
  </si>
  <si>
    <t xml:space="preserve">BIMETAL AXLE T8 L12,5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</si>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</sst>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0_-;\-* #,##0.00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2" borderId="5" xfId="0" applyFill="1" applyBorder="1"/>
    <xf numFmtId="0" fontId="0" fillId="0" borderId="5" xfId="0" applyBorder="1"/>
    <xf numFmtId="164" fontId="0" fillId="2" borderId="5" xfId="1" applyNumberFormat="1" applyFont="1" applyFill="1" applyBorder="1"/>
    <xf numFmtId="165" fontId="0" fillId="0" borderId="6" xfId="1" applyNumberFormat="1" applyFont="1" applyBorder="1" applyAlignment="1">
      <alignment horizontal="center"/>
    </xf>
    <xf numFmtId="164" fontId="0" fillId="0" borderId="6" xfId="0" applyNumberFormat="1" applyBorder="1"/>
    <xf numFmtId="165" fontId="0" fillId="0" borderId="5" xfId="1" applyNumberFormat="1" applyFont="1" applyBorder="1" applyAlignment="1">
      <alignment horizontal="center"/>
    </xf>
    <xf numFmtId="0" fontId="2" fillId="3" borderId="5" xfId="0" applyFont="1" applyFill="1" applyBorder="1"/>
    <xf numFmtId="164" fontId="2" fillId="3" borderId="5" xfId="0" applyNumberFormat="1" applyFont="1" applyFill="1" applyBorder="1"/>
  </cellXfs>
  <cellStyles count="2">
    <cellStyle name="Comma" xfId="1" builtinId="3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D13" sqref="D13"/>
    </sheetView>
  </sheetViews>
  <sheetFormatPr defaultRowHeight="14.4" x14ac:dyDescent="0.3"/>
  <cols>
    <col min="1" max="1" width="14.88671875" customWidth="1"/>
    <col min="2" max="2" width="14" customWidth="1"/>
    <col min="3" max="3" width="23" customWidth="1"/>
    <col min="4" max="4" width="26.109375" customWidth="1"/>
    <col min="5" max="5" width="13" customWidth="1"/>
    <col min="6" max="6" width="11.109375" customWidth="1"/>
    <col min="7" max="7" width="10.77734375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/>
      <c r="B2" s="4"/>
      <c r="C2" s="4"/>
      <c r="D2" s="4"/>
      <c r="E2" s="5"/>
      <c r="F2" s="5"/>
      <c r="G2" s="5"/>
    </row>
    <row r="3" spans="1:7" x14ac:dyDescent="0.3">
      <c r="A3" s="6" t="s">
        <v>7</v>
      </c>
      <c r="B3" s="6">
        <v>2010400732</v>
      </c>
      <c r="C3" s="7" t="s">
        <v>8</v>
      </c>
      <c r="D3" s="7" t="s">
        <v>9</v>
      </c>
      <c r="E3" s="8">
        <v>1508047.1199999999</v>
      </c>
      <c r="F3" s="9">
        <v>1.24E-2</v>
      </c>
      <c r="G3" s="10">
        <v>18699.784287999999</v>
      </c>
    </row>
    <row r="4" spans="1:7" x14ac:dyDescent="0.3">
      <c r="A4" s="6" t="s">
        <v>10</v>
      </c>
      <c r="B4" s="6">
        <v>1020401192</v>
      </c>
      <c r="C4" s="7" t="s">
        <v>11</v>
      </c>
      <c r="D4" s="7" t="s">
        <v>9</v>
      </c>
      <c r="E4" s="8">
        <v>2210901.1584226247</v>
      </c>
      <c r="F4" s="9">
        <v>8.2000000000000007E-3</v>
      </c>
      <c r="G4" s="10">
        <v>18129.389499065524</v>
      </c>
    </row>
    <row r="5" spans="1:7" x14ac:dyDescent="0.3">
      <c r="A5" s="6" t="s">
        <v>12</v>
      </c>
      <c r="B5" s="6">
        <v>2020401391</v>
      </c>
      <c r="C5" s="7" t="s">
        <v>13</v>
      </c>
      <c r="D5" s="7" t="s">
        <v>9</v>
      </c>
      <c r="E5" s="8">
        <v>159561</v>
      </c>
      <c r="F5" s="9">
        <v>3.8899999999999997E-2</v>
      </c>
      <c r="G5" s="10">
        <v>6206.9228999999996</v>
      </c>
    </row>
    <row r="6" spans="1:7" x14ac:dyDescent="0.3">
      <c r="A6" s="6" t="s">
        <v>14</v>
      </c>
      <c r="B6" s="6">
        <v>1055600103</v>
      </c>
      <c r="C6" s="7" t="s">
        <v>15</v>
      </c>
      <c r="D6" s="7" t="s">
        <v>9</v>
      </c>
      <c r="E6" s="8">
        <v>36160.000400288394</v>
      </c>
      <c r="F6" s="11">
        <v>0.10100000000000001</v>
      </c>
      <c r="G6" s="10">
        <v>3652.160040429128</v>
      </c>
    </row>
    <row r="7" spans="1:7" x14ac:dyDescent="0.3">
      <c r="A7" s="6" t="s">
        <v>16</v>
      </c>
      <c r="B7" s="6">
        <v>2010400711</v>
      </c>
      <c r="C7" s="7" t="s">
        <v>17</v>
      </c>
      <c r="D7" s="7" t="s">
        <v>9</v>
      </c>
      <c r="E7" s="8">
        <v>55000</v>
      </c>
      <c r="F7" s="11">
        <v>2.1600000000000001E-2</v>
      </c>
      <c r="G7" s="10">
        <v>1188</v>
      </c>
    </row>
    <row r="8" spans="1:7" x14ac:dyDescent="0.3">
      <c r="A8" s="6" t="s">
        <v>18</v>
      </c>
      <c r="B8" s="6">
        <v>3010400216</v>
      </c>
      <c r="C8" s="7" t="s">
        <v>19</v>
      </c>
      <c r="D8" s="7" t="s">
        <v>9</v>
      </c>
      <c r="E8" s="8">
        <v>40672</v>
      </c>
      <c r="F8" s="9">
        <v>2.35E-2</v>
      </c>
      <c r="G8" s="10">
        <v>955.79200000000003</v>
      </c>
    </row>
    <row r="9" spans="1:7" x14ac:dyDescent="0.3">
      <c r="A9" s="6" t="s">
        <v>20</v>
      </c>
      <c r="B9" s="6">
        <v>1052700280</v>
      </c>
      <c r="C9" s="7" t="s">
        <v>21</v>
      </c>
      <c r="D9" s="7" t="s">
        <v>9</v>
      </c>
      <c r="E9" s="8">
        <v>57613.499999999993</v>
      </c>
      <c r="F9" s="11">
        <v>7.0000000000000001E-3</v>
      </c>
      <c r="G9" s="10">
        <v>403.29449999999997</v>
      </c>
    </row>
    <row r="10" spans="1:7" x14ac:dyDescent="0.3">
      <c r="A10" s="7" t="s">
        <v>22</v>
      </c>
      <c r="B10" s="7">
        <v>1055400790</v>
      </c>
      <c r="C10" s="7" t="s">
        <v>23</v>
      </c>
      <c r="D10" s="7" t="s">
        <v>9</v>
      </c>
      <c r="E10" s="8">
        <v>2051.136</v>
      </c>
      <c r="F10" s="9">
        <v>8.3500000000000005E-2</v>
      </c>
      <c r="G10" s="10">
        <v>171.269856</v>
      </c>
    </row>
    <row r="11" spans="1:7" x14ac:dyDescent="0.3">
      <c r="A11" s="7" t="s">
        <v>24</v>
      </c>
      <c r="B11" s="7">
        <v>3010400441</v>
      </c>
      <c r="C11" s="7" t="s">
        <v>25</v>
      </c>
      <c r="D11" s="7" t="s">
        <v>9</v>
      </c>
      <c r="E11" s="8">
        <v>4574</v>
      </c>
      <c r="F11" s="11">
        <v>2.2100000000000002E-2</v>
      </c>
      <c r="G11" s="10">
        <v>101.08540000000001</v>
      </c>
    </row>
    <row r="12" spans="1:7" x14ac:dyDescent="0.3">
      <c r="A12" s="7" t="s">
        <v>26</v>
      </c>
      <c r="B12" s="7">
        <v>6010401283</v>
      </c>
      <c r="C12" s="7" t="s">
        <v>27</v>
      </c>
      <c r="D12" s="7" t="s">
        <v>9</v>
      </c>
      <c r="E12" s="8">
        <v>2011</v>
      </c>
      <c r="F12" s="9">
        <v>2.7E-2</v>
      </c>
      <c r="G12" s="10">
        <v>54.296999999999997</v>
      </c>
    </row>
    <row r="13" spans="1:7" x14ac:dyDescent="0.3">
      <c r="F13" s="12" t="s">
        <v>28</v>
      </c>
      <c r="G13" s="13">
        <f>SUM(G3:G12)</f>
        <v>49561.995483494655</v>
      </c>
    </row>
  </sheetData>
  <mergeCells count="7">
    <mergeCell ref="G1:G2"/>
    <mergeCell ref="A1:A2"/>
    <mergeCell ref="B1:B2"/>
    <mergeCell ref="C1:C2"/>
    <mergeCell ref="D1:D2"/>
    <mergeCell ref="E1:E2"/>
    <mergeCell ref="F1:F2"/>
  </mergeCells>
  <conditionalFormatting sqref="B1:B2">
    <cfRule type="duplicateValues" dxfId="5" priority="5"/>
    <cfRule type="duplicateValues" dxfId="4" priority="6"/>
  </conditionalFormatting>
  <conditionalFormatting sqref="B3:B12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Wissem Hkiri</dc:creator>
  <cp:lastModifiedBy>Wissem Hkiri</cp:lastModifiedBy>
  <dcterms:created xsi:type="dcterms:W3CDTF">2015-06-05T18:17:20Z</dcterms:created>
  <dcterms:modified xsi:type="dcterms:W3CDTF">2026-06-05T14:14:42Z</dcterms:modified>
</cp:coreProperties>
</file>