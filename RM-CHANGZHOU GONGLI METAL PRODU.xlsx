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82339E7-59D7-4B96-B296-691FCEC75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</calcChain>
</file>

<file path=xl/sharedStrings.xml><?xml version="1.0" encoding="utf-8"?>
<sst xmlns="http://schemas.openxmlformats.org/spreadsheetml/2006/main" count="67" uniqueCount="44">
  <si>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</si>
  <si>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</si>
  <si>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</si>
  <si>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</si>
  <si>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</si>
  <si>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</si>
  <si>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</si>
  <si>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</si>
  <si>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</si>
  <si>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2010400861-00</t>
  </si>
  <si>
    <t xml:space="preserve">RECEPTACLE HOUSING </t>
  </si>
  <si>
    <t>CHANGZHOU GONGLI METAL PRODU</t>
  </si>
  <si>
    <t>2010400465-02</t>
  </si>
  <si>
    <t xml:space="preserve">NEW PLATED WELL </t>
  </si>
  <si>
    <t>3020401425-01</t>
  </si>
  <si>
    <t>WELL</t>
  </si>
  <si>
    <t>2010400721-00</t>
  </si>
  <si>
    <t>Gehause SAE</t>
  </si>
  <si>
    <t>3020400607-00</t>
  </si>
  <si>
    <t>Well [3020400607]</t>
  </si>
  <si>
    <t>2010400363-02</t>
  </si>
  <si>
    <t>2020401405-00</t>
  </si>
  <si>
    <t>3010400222-00</t>
  </si>
  <si>
    <t>WELL [3010400222]</t>
  </si>
  <si>
    <t>3010400641-00</t>
  </si>
  <si>
    <t>NEGATIVE TERMINAL US CAR [217725]</t>
  </si>
  <si>
    <t>3010400651-00</t>
  </si>
  <si>
    <t>EXTERNAL WELL [454A051]</t>
  </si>
  <si>
    <t>3010400652-00</t>
  </si>
  <si>
    <t>INTERNAL WELL [454A052]</t>
  </si>
  <si>
    <t>7010400003-00</t>
  </si>
  <si>
    <t xml:space="preserve">FOURNEAU SOCLE VOLVO P26 </t>
  </si>
  <si>
    <t>2010400992-00</t>
  </si>
  <si>
    <t>GEHAUSE</t>
  </si>
  <si>
    <t>2010401019-00</t>
  </si>
  <si>
    <t>3010300495-00</t>
  </si>
  <si>
    <t>POSITIVE TERMINAL ASSY  218811</t>
  </si>
  <si>
    <t>3010400241-02</t>
  </si>
  <si>
    <t>NEGATIVE TERMINAL [3010400241]</t>
  </si>
  <si>
    <t>2010400913-00</t>
  </si>
  <si>
    <t>3010400438-02</t>
  </si>
  <si>
    <t xml:space="preserve">WELL [3010400438] </t>
  </si>
  <si>
    <t>2020400720-00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</si>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</sst>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L16" sqref="L16"/>
    </sheetView>
  </sheetViews>
  <sheetFormatPr defaultRowHeight="14.4" x14ac:dyDescent="0.3"/>
  <cols>
    <col min="1" max="1" width="17.33203125" customWidth="1"/>
    <col min="2" max="2" width="16.77734375" customWidth="1"/>
    <col min="3" max="3" width="21.88671875" customWidth="1"/>
    <col min="4" max="4" width="31.33203125" customWidth="1"/>
    <col min="5" max="5" width="15.109375" customWidth="1"/>
    <col min="6" max="6" width="14" customWidth="1"/>
    <col min="7" max="7" width="11.88671875" customWidth="1"/>
    <col min="8" max="8" width="10.2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2010400861</v>
      </c>
      <c r="C3" s="7" t="s">
        <v>10</v>
      </c>
      <c r="D3" s="7" t="s">
        <v>11</v>
      </c>
      <c r="E3" s="8">
        <v>2762775.0692029251</v>
      </c>
      <c r="F3" s="9">
        <v>0.48</v>
      </c>
      <c r="G3" s="12">
        <v>6.7344000000000001E-2</v>
      </c>
      <c r="H3" s="8">
        <f>(F3*E3)</f>
        <v>1326132.033217404</v>
      </c>
      <c r="I3" s="11">
        <v>186056.3242604018</v>
      </c>
    </row>
    <row r="4" spans="1:9" x14ac:dyDescent="0.3">
      <c r="A4" s="6" t="s">
        <v>12</v>
      </c>
      <c r="B4" s="6">
        <v>2010400465</v>
      </c>
      <c r="C4" s="7" t="s">
        <v>13</v>
      </c>
      <c r="D4" s="7" t="s">
        <v>11</v>
      </c>
      <c r="E4" s="8">
        <v>2420636.200000003</v>
      </c>
      <c r="F4" s="9">
        <v>0.49</v>
      </c>
      <c r="G4" s="12">
        <v>6.8747000000000003E-2</v>
      </c>
      <c r="H4" s="8">
        <f t="shared" ref="H4:H21" si="0">(F4*E4)</f>
        <v>1186111.7380000015</v>
      </c>
      <c r="I4" s="11">
        <v>166411.4768414002</v>
      </c>
    </row>
    <row r="5" spans="1:9" x14ac:dyDescent="0.3">
      <c r="A5" s="6" t="s">
        <v>14</v>
      </c>
      <c r="B5" s="6">
        <v>3020401425</v>
      </c>
      <c r="C5" s="7" t="s">
        <v>15</v>
      </c>
      <c r="D5" s="7" t="s">
        <v>11</v>
      </c>
      <c r="E5" s="8">
        <v>1303018.0000000002</v>
      </c>
      <c r="F5" s="9">
        <v>0.51539999999999997</v>
      </c>
      <c r="G5" s="10">
        <v>7.2310620000000006E-2</v>
      </c>
      <c r="H5" s="8">
        <f t="shared" si="0"/>
        <v>671575.47720000008</v>
      </c>
      <c r="I5" s="11">
        <v>94222.039451160032</v>
      </c>
    </row>
    <row r="6" spans="1:9" x14ac:dyDescent="0.3">
      <c r="A6" s="6" t="s">
        <v>16</v>
      </c>
      <c r="B6" s="6">
        <v>2010400721</v>
      </c>
      <c r="C6" s="7" t="s">
        <v>17</v>
      </c>
      <c r="D6" s="7" t="s">
        <v>11</v>
      </c>
      <c r="E6" s="8">
        <v>1302723.5000000014</v>
      </c>
      <c r="F6" s="9">
        <v>0.48</v>
      </c>
      <c r="G6" s="10">
        <v>6.7344000000000001E-2</v>
      </c>
      <c r="H6" s="8">
        <f t="shared" si="0"/>
        <v>625307.28000000061</v>
      </c>
      <c r="I6" s="11">
        <v>87730.611384000091</v>
      </c>
    </row>
    <row r="7" spans="1:9" x14ac:dyDescent="0.3">
      <c r="A7" s="6" t="s">
        <v>18</v>
      </c>
      <c r="B7" s="6">
        <v>3020400607</v>
      </c>
      <c r="C7" s="7" t="s">
        <v>19</v>
      </c>
      <c r="D7" s="7" t="s">
        <v>11</v>
      </c>
      <c r="E7" s="8">
        <v>394662.44</v>
      </c>
      <c r="F7" s="9">
        <v>0.46589999999999998</v>
      </c>
      <c r="G7" s="12">
        <v>6.5365770000000004E-2</v>
      </c>
      <c r="H7" s="8">
        <f t="shared" si="0"/>
        <v>183873.23079599999</v>
      </c>
      <c r="I7" s="11">
        <v>25797.4142806788</v>
      </c>
    </row>
    <row r="8" spans="1:9" x14ac:dyDescent="0.3">
      <c r="A8" s="6" t="s">
        <v>20</v>
      </c>
      <c r="B8" s="6">
        <v>2010400363</v>
      </c>
      <c r="C8" s="7" t="s">
        <v>15</v>
      </c>
      <c r="D8" s="7" t="s">
        <v>11</v>
      </c>
      <c r="E8" s="8">
        <v>219950</v>
      </c>
      <c r="F8" s="9">
        <v>0.68871000000000004</v>
      </c>
      <c r="G8" s="10">
        <v>9.6626013000000011E-2</v>
      </c>
      <c r="H8" s="8">
        <f t="shared" si="0"/>
        <v>151481.76450000002</v>
      </c>
      <c r="I8" s="11">
        <v>21252.891559350002</v>
      </c>
    </row>
    <row r="9" spans="1:9" x14ac:dyDescent="0.3">
      <c r="A9" s="6" t="s">
        <v>21</v>
      </c>
      <c r="B9" s="6">
        <v>2020401405</v>
      </c>
      <c r="C9" s="7" t="s">
        <v>15</v>
      </c>
      <c r="D9" s="7" t="s">
        <v>11</v>
      </c>
      <c r="E9" s="8">
        <v>159561</v>
      </c>
      <c r="F9" s="9">
        <v>0.54</v>
      </c>
      <c r="G9" s="10">
        <v>7.576200000000001E-2</v>
      </c>
      <c r="H9" s="8">
        <f t="shared" si="0"/>
        <v>86162.94</v>
      </c>
      <c r="I9" s="11">
        <v>12088.660482000001</v>
      </c>
    </row>
    <row r="10" spans="1:9" x14ac:dyDescent="0.3">
      <c r="A10" s="7" t="s">
        <v>22</v>
      </c>
      <c r="B10" s="7">
        <v>3010400222</v>
      </c>
      <c r="C10" s="7" t="s">
        <v>23</v>
      </c>
      <c r="D10" s="7" t="s">
        <v>11</v>
      </c>
      <c r="E10" s="8">
        <v>55000</v>
      </c>
      <c r="F10" s="9">
        <v>0.62039999999999995</v>
      </c>
      <c r="G10" s="10">
        <v>8.7042120000000001E-2</v>
      </c>
      <c r="H10" s="8">
        <f t="shared" si="0"/>
        <v>34122</v>
      </c>
      <c r="I10" s="11">
        <v>4787.3166000000001</v>
      </c>
    </row>
    <row r="11" spans="1:9" x14ac:dyDescent="0.3">
      <c r="A11" s="6" t="s">
        <v>24</v>
      </c>
      <c r="B11" s="6">
        <v>3010400641</v>
      </c>
      <c r="C11" s="7" t="s">
        <v>25</v>
      </c>
      <c r="D11" s="7" t="s">
        <v>11</v>
      </c>
      <c r="E11" s="8">
        <v>189633.31999999998</v>
      </c>
      <c r="F11" s="9">
        <v>0.16800000000000001</v>
      </c>
      <c r="G11" s="10">
        <v>2.3570400000000002E-2</v>
      </c>
      <c r="H11" s="8">
        <f t="shared" si="0"/>
        <v>31858.39776</v>
      </c>
      <c r="I11" s="11">
        <v>4469.733205728</v>
      </c>
    </row>
    <row r="12" spans="1:9" x14ac:dyDescent="0.3">
      <c r="A12" s="6" t="s">
        <v>26</v>
      </c>
      <c r="B12" s="6">
        <v>3010400651</v>
      </c>
      <c r="C12" s="7" t="s">
        <v>27</v>
      </c>
      <c r="D12" s="7" t="s">
        <v>11</v>
      </c>
      <c r="E12" s="8">
        <v>40672</v>
      </c>
      <c r="F12" s="9">
        <v>0.66569999999999996</v>
      </c>
      <c r="G12" s="10">
        <v>9.3397709999999995E-2</v>
      </c>
      <c r="H12" s="8">
        <f t="shared" si="0"/>
        <v>27075.350399999999</v>
      </c>
      <c r="I12" s="11">
        <v>3798.67166112</v>
      </c>
    </row>
    <row r="13" spans="1:9" x14ac:dyDescent="0.3">
      <c r="A13" s="6" t="s">
        <v>28</v>
      </c>
      <c r="B13" s="6">
        <v>3010400652</v>
      </c>
      <c r="C13" s="7" t="s">
        <v>29</v>
      </c>
      <c r="D13" s="7" t="s">
        <v>11</v>
      </c>
      <c r="E13" s="8">
        <v>40672</v>
      </c>
      <c r="F13" s="9">
        <v>0.66090000000000004</v>
      </c>
      <c r="G13" s="12">
        <v>9.2724270000000011E-2</v>
      </c>
      <c r="H13" s="8">
        <f t="shared" si="0"/>
        <v>26880.124800000001</v>
      </c>
      <c r="I13" s="11">
        <v>3771.2815094400003</v>
      </c>
    </row>
    <row r="14" spans="1:9" x14ac:dyDescent="0.3">
      <c r="A14" s="6" t="s">
        <v>30</v>
      </c>
      <c r="B14" s="6">
        <v>7010400003</v>
      </c>
      <c r="C14" s="7" t="s">
        <v>31</v>
      </c>
      <c r="D14" s="7" t="s">
        <v>11</v>
      </c>
      <c r="E14" s="8">
        <v>38448</v>
      </c>
      <c r="F14" s="9">
        <v>0.55851000000000006</v>
      </c>
      <c r="G14" s="10">
        <v>7.8358953000000009E-2</v>
      </c>
      <c r="H14" s="8">
        <f t="shared" si="0"/>
        <v>21473.592480000003</v>
      </c>
      <c r="I14" s="11">
        <v>3012.7450249440003</v>
      </c>
    </row>
    <row r="15" spans="1:9" x14ac:dyDescent="0.3">
      <c r="A15" s="7" t="s">
        <v>32</v>
      </c>
      <c r="B15" s="7">
        <v>2010400992</v>
      </c>
      <c r="C15" s="7" t="s">
        <v>33</v>
      </c>
      <c r="D15" s="7" t="s">
        <v>11</v>
      </c>
      <c r="E15" s="8">
        <v>37826.000000000051</v>
      </c>
      <c r="F15" s="9">
        <v>0.51755000000000007</v>
      </c>
      <c r="G15" s="10">
        <v>7.2612265000000009E-2</v>
      </c>
      <c r="H15" s="8">
        <f t="shared" si="0"/>
        <v>19576.84630000003</v>
      </c>
      <c r="I15" s="11">
        <v>2746.6315358900042</v>
      </c>
    </row>
    <row r="16" spans="1:9" x14ac:dyDescent="0.3">
      <c r="A16" s="7" t="s">
        <v>34</v>
      </c>
      <c r="B16" s="7">
        <v>2010401019</v>
      </c>
      <c r="C16" s="7" t="s">
        <v>17</v>
      </c>
      <c r="D16" s="7" t="s">
        <v>11</v>
      </c>
      <c r="E16" s="8">
        <v>10947.000000000016</v>
      </c>
      <c r="F16" s="9">
        <v>1.0547200000000001</v>
      </c>
      <c r="G16" s="10">
        <v>0.14797721600000002</v>
      </c>
      <c r="H16" s="8">
        <f t="shared" si="0"/>
        <v>11546.019840000019</v>
      </c>
      <c r="I16" s="11">
        <v>1619.9065835520028</v>
      </c>
    </row>
    <row r="17" spans="1:9" x14ac:dyDescent="0.3">
      <c r="A17" s="6" t="s">
        <v>35</v>
      </c>
      <c r="B17" s="6">
        <v>3010300495</v>
      </c>
      <c r="C17" s="7" t="s">
        <v>36</v>
      </c>
      <c r="D17" s="7" t="s">
        <v>11</v>
      </c>
      <c r="E17" s="8">
        <v>40672</v>
      </c>
      <c r="F17" s="9">
        <v>0.1943</v>
      </c>
      <c r="G17" s="10">
        <v>2.7260290000000003E-2</v>
      </c>
      <c r="H17" s="8">
        <f t="shared" si="0"/>
        <v>7902.5695999999998</v>
      </c>
      <c r="I17" s="11">
        <v>1108.7305148800001</v>
      </c>
    </row>
    <row r="18" spans="1:9" x14ac:dyDescent="0.3">
      <c r="A18" s="6" t="s">
        <v>37</v>
      </c>
      <c r="B18" s="6">
        <v>3010400241</v>
      </c>
      <c r="C18" s="7" t="s">
        <v>38</v>
      </c>
      <c r="D18" s="7" t="s">
        <v>11</v>
      </c>
      <c r="E18" s="8">
        <v>40672</v>
      </c>
      <c r="F18" s="9">
        <v>0.18</v>
      </c>
      <c r="G18" s="10">
        <v>2.5253999999999999E-2</v>
      </c>
      <c r="H18" s="8">
        <f t="shared" si="0"/>
        <v>7320.96</v>
      </c>
      <c r="I18" s="11">
        <v>1027.130688</v>
      </c>
    </row>
    <row r="19" spans="1:9" x14ac:dyDescent="0.3">
      <c r="A19" s="7" t="s">
        <v>39</v>
      </c>
      <c r="B19" s="7">
        <v>2010400913</v>
      </c>
      <c r="C19" s="7" t="s">
        <v>15</v>
      </c>
      <c r="D19" s="7" t="s">
        <v>11</v>
      </c>
      <c r="E19" s="8">
        <v>8989.0000000000146</v>
      </c>
      <c r="F19" s="9">
        <v>0.52849999999999997</v>
      </c>
      <c r="G19" s="10">
        <v>7.4148549999999994E-2</v>
      </c>
      <c r="H19" s="8">
        <f t="shared" si="0"/>
        <v>4750.6865000000071</v>
      </c>
      <c r="I19" s="11">
        <v>666.52131595000105</v>
      </c>
    </row>
    <row r="20" spans="1:9" x14ac:dyDescent="0.3">
      <c r="A20" s="7" t="s">
        <v>40</v>
      </c>
      <c r="B20" s="7">
        <v>3010400438</v>
      </c>
      <c r="C20" s="7" t="s">
        <v>41</v>
      </c>
      <c r="D20" s="7" t="s">
        <v>11</v>
      </c>
      <c r="E20" s="8">
        <v>4574</v>
      </c>
      <c r="F20" s="9">
        <v>0.52590000000000003</v>
      </c>
      <c r="G20" s="12">
        <v>7.3783770000000012E-2</v>
      </c>
      <c r="H20" s="8">
        <f t="shared" si="0"/>
        <v>2405.4666000000002</v>
      </c>
      <c r="I20" s="11">
        <v>337.48696398000004</v>
      </c>
    </row>
    <row r="21" spans="1:9" x14ac:dyDescent="0.3">
      <c r="A21" s="7" t="s">
        <v>42</v>
      </c>
      <c r="B21" s="7">
        <v>2020400720</v>
      </c>
      <c r="C21" s="7" t="s">
        <v>33</v>
      </c>
      <c r="D21" s="7" t="s">
        <v>11</v>
      </c>
      <c r="E21" s="8">
        <v>2000.0000000000027</v>
      </c>
      <c r="F21" s="9">
        <v>0.52851999999999999</v>
      </c>
      <c r="G21" s="12">
        <v>7.4151356000000002E-2</v>
      </c>
      <c r="H21" s="8">
        <f t="shared" si="0"/>
        <v>1057.0400000000013</v>
      </c>
      <c r="I21" s="11">
        <v>148.30271200000021</v>
      </c>
    </row>
    <row r="22" spans="1:9" x14ac:dyDescent="0.3">
      <c r="G22" s="13" t="s">
        <v>43</v>
      </c>
      <c r="H22" s="14">
        <f>SUM(H3:H21)</f>
        <v>4426613.5179934073</v>
      </c>
      <c r="I22" s="14">
        <f>SUM(I3:I21)</f>
        <v>621053.87657447497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3"/>
    <cfRule type="duplicateValues" dxfId="4" priority="4"/>
  </conditionalFormatting>
  <conditionalFormatting sqref="B3:B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2026-06-03T10:21:38Z</dcterms:modified>
</cp:coreProperties>
</file>