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D5203042-B32E-45FC-BA07-B11F05A9984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H4" i="1"/>
  <c r="H5" i="1"/>
  <c r="H6" i="1"/>
  <c r="H7" i="1"/>
  <c r="H8" i="1"/>
  <c r="H9" i="1"/>
  <c r="H10" i="1"/>
  <c r="H11" i="1"/>
  <c r="H12" i="1"/>
  <c r="H13" i="1"/>
  <c r="H14" i="1"/>
  <c r="H15" i="1"/>
  <c r="H3" i="1"/>
</calcChain>
</file>

<file path=xl/sharedStrings.xml><?xml version="1.0" encoding="utf-8"?>
<sst xmlns="http://schemas.openxmlformats.org/spreadsheetml/2006/main" count="49" uniqueCount="35">
  <si>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</si>
  <si>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</si>
  <si>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</si>
  <si>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</si>
  <si>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</si>
  <si>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</si>
  <si>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</si>
  <si>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</si>
  <si>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</si>
  <si>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7038400358-01</t>
  </si>
  <si>
    <t xml:space="preserve">External housing </t>
  </si>
  <si>
    <t>MICROTECHNIK INTERATIONAL TU</t>
  </si>
  <si>
    <t>6020300385-00</t>
  </si>
  <si>
    <t xml:space="preserve">COVER PAD PRINTED </t>
  </si>
  <si>
    <t>6020400352-04</t>
  </si>
  <si>
    <t>MOUNTING RING [6020400352]</t>
  </si>
  <si>
    <t>2020400461-01</t>
  </si>
  <si>
    <t>COVER</t>
  </si>
  <si>
    <t>2020400110-00</t>
  </si>
  <si>
    <t xml:space="preserve">COVER POWER OUTLET </t>
  </si>
  <si>
    <t>2020400723-00</t>
  </si>
  <si>
    <t xml:space="preserve">LID HOLDER </t>
  </si>
  <si>
    <t>7038400359-00</t>
  </si>
  <si>
    <t>1055400167-04</t>
  </si>
  <si>
    <t xml:space="preserve"> HVPO BP HOUSING Stellantis 68581522AB</t>
  </si>
  <si>
    <t>1055400170-04</t>
  </si>
  <si>
    <t>HVPO BP COVER Stellantis 68581522AB</t>
  </si>
  <si>
    <t>1055400172-04</t>
  </si>
  <si>
    <t>HVPO BP COVER HINGE LH Stellantis 68581522AB</t>
  </si>
  <si>
    <t>1055400182-04</t>
  </si>
  <si>
    <t>HVPO BP COVER HINGE RH  Stellantis 68581522AB</t>
  </si>
  <si>
    <t>6020301180-00</t>
  </si>
  <si>
    <t>6020401369-00</t>
  </si>
  <si>
    <t xml:space="preserve">MOUNTING RING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</si>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</sst>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  <numFmt numFmtId="169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8" fontId="0" fillId="0" borderId="6" xfId="0" applyNumberFormat="1" applyBorder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8" fontId="0" fillId="2" borderId="5" xfId="1" applyNumberFormat="1" applyFont="1" applyFill="1" applyBorder="1"/>
    <xf numFmtId="169" fontId="0" fillId="0" borderId="5" xfId="1" applyNumberFormat="1" applyFont="1" applyBorder="1"/>
    <xf numFmtId="169" fontId="0" fillId="0" borderId="6" xfId="1" applyNumberFormat="1" applyFont="1" applyBorder="1" applyAlignment="1">
      <alignment horizontal="center"/>
    </xf>
    <xf numFmtId="169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8" fontId="2" fillId="3" borderId="5" xfId="0" applyNumberFormat="1" applyFont="1" applyFill="1" applyBorder="1"/>
  </cellXfs>
  <cellStyles count="4">
    <cellStyle name="Comma" xfId="1" builtinId="3"/>
    <cellStyle name="Comma 2" xfId="3" xr:uid="{74D498A7-DD72-4BD2-9ED4-E443684FEA6D}"/>
    <cellStyle name="Comma 3" xfId="2" xr:uid="{D8F63156-499D-4794-9D13-7E8E84D5B7B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19" sqref="E19"/>
    </sheetView>
  </sheetViews>
  <sheetFormatPr defaultRowHeight="14.4" x14ac:dyDescent="0.3"/>
  <cols>
    <col min="1" max="1" width="22.33203125" customWidth="1"/>
    <col min="2" max="2" width="15.6640625" customWidth="1"/>
    <col min="3" max="3" width="18.77734375" customWidth="1"/>
    <col min="4" max="4" width="31.77734375" customWidth="1"/>
    <col min="5" max="5" width="15" customWidth="1"/>
    <col min="6" max="6" width="13.109375" customWidth="1"/>
    <col min="7" max="7" width="16.109375" customWidth="1"/>
    <col min="8" max="8" width="11.21875" customWidth="1"/>
  </cols>
  <sheetData>
    <row r="1" spans="1:9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5">
      <c r="A2" s="7"/>
      <c r="B2" s="8"/>
      <c r="C2" s="8"/>
      <c r="D2" s="8"/>
      <c r="E2" s="5"/>
      <c r="F2" s="5"/>
      <c r="G2" s="5"/>
      <c r="H2" s="5"/>
      <c r="I2" s="5"/>
    </row>
    <row r="3" spans="1:9" x14ac:dyDescent="0.3">
      <c r="A3" s="2" t="s">
        <v>9</v>
      </c>
      <c r="B3" s="2">
        <v>7038400358</v>
      </c>
      <c r="C3" s="3" t="s">
        <v>10</v>
      </c>
      <c r="D3" s="3" t="s">
        <v>11</v>
      </c>
      <c r="E3" s="9">
        <v>1216960.0000000002</v>
      </c>
      <c r="F3" s="10">
        <v>5.5E-2</v>
      </c>
      <c r="G3" s="11">
        <v>6.414099999999999E-2</v>
      </c>
      <c r="H3" s="4">
        <f>(F3*E3)</f>
        <v>66932.800000000017</v>
      </c>
      <c r="I3" s="4">
        <v>78057.031360000008</v>
      </c>
    </row>
    <row r="4" spans="1:9" x14ac:dyDescent="0.3">
      <c r="A4" s="2" t="s">
        <v>12</v>
      </c>
      <c r="B4" s="2">
        <v>6020300385</v>
      </c>
      <c r="C4" s="3" t="s">
        <v>13</v>
      </c>
      <c r="D4" s="3" t="s">
        <v>11</v>
      </c>
      <c r="E4" s="9">
        <v>736959</v>
      </c>
      <c r="F4" s="10">
        <v>6.6299999999999998E-2</v>
      </c>
      <c r="G4" s="11">
        <v>7.7319059999999995E-2</v>
      </c>
      <c r="H4" s="4">
        <f t="shared" ref="H4:H15" si="0">(F4*E4)</f>
        <v>48860.381699999998</v>
      </c>
      <c r="I4" s="4">
        <v>56980.977138539994</v>
      </c>
    </row>
    <row r="5" spans="1:9" x14ac:dyDescent="0.3">
      <c r="A5" s="2" t="s">
        <v>14</v>
      </c>
      <c r="B5" s="2">
        <v>6020400352</v>
      </c>
      <c r="C5" s="3" t="s">
        <v>15</v>
      </c>
      <c r="D5" s="3" t="s">
        <v>11</v>
      </c>
      <c r="E5" s="9">
        <v>736959</v>
      </c>
      <c r="F5" s="10">
        <v>5.4199999999999998E-2</v>
      </c>
      <c r="G5" s="12">
        <v>6.3208039999999993E-2</v>
      </c>
      <c r="H5" s="4">
        <f t="shared" si="0"/>
        <v>39943.177799999998</v>
      </c>
      <c r="I5" s="4">
        <v>46581.733950359994</v>
      </c>
    </row>
    <row r="6" spans="1:9" x14ac:dyDescent="0.3">
      <c r="A6" s="2" t="s">
        <v>16</v>
      </c>
      <c r="B6" s="2">
        <v>2020400461</v>
      </c>
      <c r="C6" s="3" t="s">
        <v>17</v>
      </c>
      <c r="D6" s="3" t="s">
        <v>11</v>
      </c>
      <c r="E6" s="9">
        <v>792763.35000000114</v>
      </c>
      <c r="F6" s="10">
        <v>4.1000000000000002E-2</v>
      </c>
      <c r="G6" s="12">
        <v>4.7814200000000001E-2</v>
      </c>
      <c r="H6" s="4">
        <f t="shared" si="0"/>
        <v>32503.297350000048</v>
      </c>
      <c r="I6" s="4">
        <v>37905.345369570052</v>
      </c>
    </row>
    <row r="7" spans="1:9" x14ac:dyDescent="0.3">
      <c r="A7" s="2" t="s">
        <v>18</v>
      </c>
      <c r="B7" s="2">
        <v>2020400110</v>
      </c>
      <c r="C7" s="3" t="s">
        <v>19</v>
      </c>
      <c r="D7" s="3" t="s">
        <v>11</v>
      </c>
      <c r="E7" s="9">
        <v>925011.71920292254</v>
      </c>
      <c r="F7" s="10">
        <v>3.1799999999999995E-2</v>
      </c>
      <c r="G7" s="11">
        <v>3.7085159999999992E-2</v>
      </c>
      <c r="H7" s="4">
        <f t="shared" si="0"/>
        <v>29415.372670652931</v>
      </c>
      <c r="I7" s="4">
        <v>34304.207608515448</v>
      </c>
    </row>
    <row r="8" spans="1:9" x14ac:dyDescent="0.3">
      <c r="A8" s="2" t="s">
        <v>20</v>
      </c>
      <c r="B8" s="2">
        <v>2020400723</v>
      </c>
      <c r="C8" s="3" t="s">
        <v>21</v>
      </c>
      <c r="D8" s="3" t="s">
        <v>11</v>
      </c>
      <c r="E8" s="9">
        <v>1499079.4692029234</v>
      </c>
      <c r="F8" s="10">
        <v>1.77E-2</v>
      </c>
      <c r="G8" s="11">
        <v>2.0641739999999999E-2</v>
      </c>
      <c r="H8" s="4">
        <f t="shared" si="0"/>
        <v>26533.706604891744</v>
      </c>
      <c r="I8" s="4">
        <v>30943.608642624749</v>
      </c>
    </row>
    <row r="9" spans="1:9" x14ac:dyDescent="0.3">
      <c r="A9" s="2" t="s">
        <v>22</v>
      </c>
      <c r="B9" s="2">
        <v>7038400359</v>
      </c>
      <c r="C9" s="3" t="s">
        <v>17</v>
      </c>
      <c r="D9" s="3" t="s">
        <v>11</v>
      </c>
      <c r="E9" s="9">
        <v>1216960.0000000002</v>
      </c>
      <c r="F9" s="10">
        <v>2.1000000000000001E-2</v>
      </c>
      <c r="G9" s="11">
        <v>2.44902E-2</v>
      </c>
      <c r="H9" s="4">
        <f t="shared" si="0"/>
        <v>25556.160000000007</v>
      </c>
      <c r="I9" s="4">
        <v>29803.593792000007</v>
      </c>
    </row>
    <row r="10" spans="1:9" x14ac:dyDescent="0.3">
      <c r="A10" s="2" t="s">
        <v>23</v>
      </c>
      <c r="B10" s="2">
        <v>1055400167</v>
      </c>
      <c r="C10" s="3" t="s">
        <v>24</v>
      </c>
      <c r="D10" s="3" t="s">
        <v>11</v>
      </c>
      <c r="E10" s="9">
        <v>12011.200000000003</v>
      </c>
      <c r="F10" s="10">
        <v>1.95</v>
      </c>
      <c r="G10" s="12">
        <v>2.2740899999999997</v>
      </c>
      <c r="H10" s="4">
        <f t="shared" si="0"/>
        <v>23421.840000000004</v>
      </c>
      <c r="I10" s="4">
        <v>27314.549808000003</v>
      </c>
    </row>
    <row r="11" spans="1:9" x14ac:dyDescent="0.3">
      <c r="A11" s="2" t="s">
        <v>25</v>
      </c>
      <c r="B11" s="2">
        <v>1055400170</v>
      </c>
      <c r="C11" s="3" t="s">
        <v>26</v>
      </c>
      <c r="D11" s="3" t="s">
        <v>11</v>
      </c>
      <c r="E11" s="9">
        <v>12011.200000000003</v>
      </c>
      <c r="F11" s="10">
        <v>1.94</v>
      </c>
      <c r="G11" s="12">
        <v>2.2624279999999999</v>
      </c>
      <c r="H11" s="4">
        <f t="shared" si="0"/>
        <v>23301.728000000003</v>
      </c>
      <c r="I11" s="4">
        <v>27174.475193600003</v>
      </c>
    </row>
    <row r="12" spans="1:9" x14ac:dyDescent="0.3">
      <c r="A12" s="2" t="s">
        <v>27</v>
      </c>
      <c r="B12" s="2">
        <v>1055400172</v>
      </c>
      <c r="C12" s="3" t="s">
        <v>28</v>
      </c>
      <c r="D12" s="3" t="s">
        <v>11</v>
      </c>
      <c r="E12" s="9">
        <v>12011.200000000003</v>
      </c>
      <c r="F12" s="10">
        <v>0.20100000000000001</v>
      </c>
      <c r="G12" s="11">
        <v>0.23440619999999998</v>
      </c>
      <c r="H12" s="4">
        <f t="shared" si="0"/>
        <v>2414.2512000000006</v>
      </c>
      <c r="I12" s="4">
        <v>2815.4997494400004</v>
      </c>
    </row>
    <row r="13" spans="1:9" x14ac:dyDescent="0.3">
      <c r="A13" s="2" t="s">
        <v>29</v>
      </c>
      <c r="B13" s="2">
        <v>1055400182</v>
      </c>
      <c r="C13" s="3" t="s">
        <v>30</v>
      </c>
      <c r="D13" s="3" t="s">
        <v>11</v>
      </c>
      <c r="E13" s="9">
        <v>12011.200000000003</v>
      </c>
      <c r="F13" s="10">
        <v>0.20100000000000001</v>
      </c>
      <c r="G13" s="12">
        <v>0.23440619999999998</v>
      </c>
      <c r="H13" s="4">
        <f t="shared" si="0"/>
        <v>2414.2512000000006</v>
      </c>
      <c r="I13" s="4">
        <v>2815.4997494400004</v>
      </c>
    </row>
    <row r="14" spans="1:9" x14ac:dyDescent="0.3">
      <c r="A14" s="2" t="s">
        <v>31</v>
      </c>
      <c r="B14" s="2">
        <v>6020301180</v>
      </c>
      <c r="C14" s="3" t="s">
        <v>13</v>
      </c>
      <c r="D14" s="3" t="s">
        <v>11</v>
      </c>
      <c r="E14" s="9">
        <v>14560</v>
      </c>
      <c r="F14" s="10">
        <v>0.16170000000000001</v>
      </c>
      <c r="G14" s="11">
        <v>0.18857453999999998</v>
      </c>
      <c r="H14" s="4">
        <f t="shared" si="0"/>
        <v>2354.3520000000003</v>
      </c>
      <c r="I14" s="4">
        <v>2745.6453023999998</v>
      </c>
    </row>
    <row r="15" spans="1:9" x14ac:dyDescent="0.3">
      <c r="A15" s="2" t="s">
        <v>32</v>
      </c>
      <c r="B15" s="2">
        <v>6020401369</v>
      </c>
      <c r="C15" s="3" t="s">
        <v>33</v>
      </c>
      <c r="D15" s="3" t="s">
        <v>11</v>
      </c>
      <c r="E15" s="9">
        <v>14560</v>
      </c>
      <c r="F15" s="10">
        <v>0.14029999999999998</v>
      </c>
      <c r="G15" s="12">
        <v>0.16361785999999998</v>
      </c>
      <c r="H15" s="4">
        <f t="shared" si="0"/>
        <v>2042.7679999999998</v>
      </c>
      <c r="I15" s="4">
        <v>2382.2760415999996</v>
      </c>
    </row>
    <row r="16" spans="1:9" x14ac:dyDescent="0.3">
      <c r="G16" s="13" t="s">
        <v>34</v>
      </c>
      <c r="H16" s="14">
        <f>SUM(H3:H15)</f>
        <v>325694.08652554476</v>
      </c>
      <c r="I16" s="14">
        <f>SUM(I3:I15)</f>
        <v>379824.44370609027</v>
      </c>
    </row>
  </sheetData>
  <mergeCells count="9">
    <mergeCell ref="I1:I2"/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3:B1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2026-06-02T09:02:38Z</dcterms:modified>
</cp:coreProperties>
</file>