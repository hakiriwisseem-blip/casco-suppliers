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FFAAB95-3179-4EEB-A51F-79071BED0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H4" i="1"/>
  <c r="H5" i="1"/>
  <c r="H6" i="1"/>
  <c r="H7" i="1"/>
  <c r="H8" i="1"/>
  <c r="H3" i="1"/>
</calcChain>
</file>

<file path=xl/sharedStrings.xml><?xml version="1.0" encoding="utf-8"?>
<sst xmlns="http://schemas.openxmlformats.org/spreadsheetml/2006/main" count="28" uniqueCount="21">
  <si>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</si>
  <si>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</si>
  <si>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</si>
  <si>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</si>
  <si>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</si>
  <si>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</si>
  <si>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</si>
  <si>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3020400629-00</t>
  </si>
  <si>
    <t>SPIROL PIN [218935]</t>
  </si>
  <si>
    <t>SPIROL s,r,o</t>
  </si>
  <si>
    <t>3020400619-00</t>
  </si>
  <si>
    <t>PIN(CLDP0.62*1.187MDF) [218575]</t>
  </si>
  <si>
    <t>3020400616-00</t>
  </si>
  <si>
    <t>PIN  0.062*0.515 LDK [218091]</t>
  </si>
  <si>
    <t>6020400192-01</t>
  </si>
  <si>
    <t>PIN</t>
  </si>
  <si>
    <t>1020400024-01</t>
  </si>
  <si>
    <t>3020400775-00</t>
  </si>
  <si>
    <t>Related Unit Price €</t>
  </si>
  <si>
    <t>Yearly Spend €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</si>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</sst>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4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9" sqref="H9:I9"/>
    </sheetView>
  </sheetViews>
  <sheetFormatPr defaultRowHeight="14.4" x14ac:dyDescent="0.3"/>
  <cols>
    <col min="1" max="1" width="15.33203125" customWidth="1"/>
    <col min="2" max="2" width="13.33203125" customWidth="1"/>
    <col min="3" max="4" width="31.6640625" customWidth="1"/>
    <col min="5" max="5" width="12.109375" customWidth="1"/>
    <col min="6" max="6" width="13" customWidth="1"/>
    <col min="7" max="7" width="13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5</v>
      </c>
      <c r="H1" s="2" t="s">
        <v>19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3020400629</v>
      </c>
      <c r="C3" s="7" t="s">
        <v>8</v>
      </c>
      <c r="D3" s="7" t="s">
        <v>9</v>
      </c>
      <c r="E3" s="8">
        <v>2492967</v>
      </c>
      <c r="F3" s="9">
        <v>1.8489999999999999E-2</v>
      </c>
      <c r="G3" s="10">
        <v>2.1563037999999996E-2</v>
      </c>
      <c r="H3" s="8">
        <f>(E3*F3)</f>
        <v>46094.95983</v>
      </c>
      <c r="I3" s="11">
        <v>53755.942153745993</v>
      </c>
    </row>
    <row r="4" spans="1:9" x14ac:dyDescent="0.3">
      <c r="A4" s="6" t="s">
        <v>10</v>
      </c>
      <c r="B4" s="6">
        <v>3020400619</v>
      </c>
      <c r="C4" s="7" t="s">
        <v>11</v>
      </c>
      <c r="D4" s="7" t="s">
        <v>9</v>
      </c>
      <c r="E4" s="8">
        <v>1140645</v>
      </c>
      <c r="F4" s="9">
        <v>0.04</v>
      </c>
      <c r="G4" s="12">
        <v>4.6647999999999995E-2</v>
      </c>
      <c r="H4" s="8">
        <f t="shared" ref="H4:H9" si="0">(E4*F4)</f>
        <v>45625.8</v>
      </c>
      <c r="I4" s="11">
        <v>53208.807959999991</v>
      </c>
    </row>
    <row r="5" spans="1:9" x14ac:dyDescent="0.3">
      <c r="A5" s="6" t="s">
        <v>12</v>
      </c>
      <c r="B5" s="6">
        <v>3020400616</v>
      </c>
      <c r="C5" s="7" t="s">
        <v>13</v>
      </c>
      <c r="D5" s="7" t="s">
        <v>9</v>
      </c>
      <c r="E5" s="8">
        <v>2068679.92</v>
      </c>
      <c r="F5" s="9">
        <v>1.285E-2</v>
      </c>
      <c r="G5" s="12">
        <v>1.498567E-2</v>
      </c>
      <c r="H5" s="8">
        <f t="shared" si="0"/>
        <v>26582.536971999998</v>
      </c>
      <c r="I5" s="11">
        <v>31000.554616746398</v>
      </c>
    </row>
    <row r="6" spans="1:9" x14ac:dyDescent="0.3">
      <c r="A6" s="6" t="s">
        <v>14</v>
      </c>
      <c r="B6" s="6">
        <v>6020400192</v>
      </c>
      <c r="C6" s="7" t="s">
        <v>15</v>
      </c>
      <c r="D6" s="7" t="s">
        <v>9</v>
      </c>
      <c r="E6" s="8">
        <v>439844.32000000007</v>
      </c>
      <c r="F6" s="9">
        <v>1.7500000000000002E-2</v>
      </c>
      <c r="G6" s="12">
        <v>2.04085E-2</v>
      </c>
      <c r="H6" s="8">
        <f t="shared" si="0"/>
        <v>7697.2756000000018</v>
      </c>
      <c r="I6" s="11">
        <v>8976.5628047200007</v>
      </c>
    </row>
    <row r="7" spans="1:9" x14ac:dyDescent="0.3">
      <c r="A7" s="6" t="s">
        <v>16</v>
      </c>
      <c r="B7" s="6">
        <v>1020400024</v>
      </c>
      <c r="C7" s="7" t="s">
        <v>15</v>
      </c>
      <c r="D7" s="7" t="s">
        <v>9</v>
      </c>
      <c r="E7" s="8">
        <v>388172.10000000009</v>
      </c>
      <c r="F7" s="9">
        <v>1.49E-2</v>
      </c>
      <c r="G7" s="10">
        <v>1.737638E-2</v>
      </c>
      <c r="H7" s="8">
        <f t="shared" si="0"/>
        <v>5783.764290000001</v>
      </c>
      <c r="I7" s="11">
        <v>6745.025914998002</v>
      </c>
    </row>
    <row r="8" spans="1:9" x14ac:dyDescent="0.3">
      <c r="A8" s="6" t="s">
        <v>17</v>
      </c>
      <c r="B8" s="6">
        <v>3020400775</v>
      </c>
      <c r="C8" s="7" t="s">
        <v>15</v>
      </c>
      <c r="D8" s="7" t="s">
        <v>9</v>
      </c>
      <c r="E8" s="8">
        <v>12976</v>
      </c>
      <c r="F8" s="9">
        <v>2.9479999999999999E-2</v>
      </c>
      <c r="G8" s="10">
        <v>3.4379575999999995E-2</v>
      </c>
      <c r="H8" s="8">
        <f t="shared" si="0"/>
        <v>382.53247999999996</v>
      </c>
      <c r="I8" s="11">
        <v>446.10937817599995</v>
      </c>
    </row>
    <row r="9" spans="1:9" x14ac:dyDescent="0.3">
      <c r="H9" s="13" t="s">
        <v>20</v>
      </c>
      <c r="I9" s="14">
        <f>SUM(I3:I8)</f>
        <v>154133.00282838638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2026-06-03T13:18:01Z</dcterms:modified>
</cp:coreProperties>
</file>