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358A943-96C9-49A2-AE5B-A9B8980C9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H4" i="1"/>
  <c r="H5" i="1"/>
  <c r="H6" i="1"/>
  <c r="H7" i="1"/>
  <c r="H3" i="1"/>
</calcChain>
</file>

<file path=xl/sharedStrings.xml><?xml version="1.0" encoding="utf-8"?>
<sst xmlns="http://schemas.openxmlformats.org/spreadsheetml/2006/main" count="25" uniqueCount="20">
  <si>
    <t>CAT PN</t>
  </si>
  <si>
    <t>PN without Eng. Indices</t>
  </si>
  <si>
    <t>Description</t>
  </si>
  <si>
    <t>CAT Direct Supplier</t>
  </si>
  <si>
    <t>CY2026 Total demand (UM)</t>
  </si>
  <si>
    <t xml:space="preserve">Related Unit Price ¥ </t>
  </si>
  <si>
    <t>Related Unit Price $</t>
  </si>
  <si>
    <t xml:space="preserve">Yearly Spend ¥ </t>
  </si>
  <si>
    <t>Yearly Spend $</t>
  </si>
  <si>
    <t>2010300481-00</t>
  </si>
  <si>
    <t xml:space="preserve">PCB HOUSING </t>
  </si>
  <si>
    <t>SUZHOU DEXIAO ELECTRONIC TEC</t>
  </si>
  <si>
    <t>2010300102-01</t>
  </si>
  <si>
    <t>6010300722-00</t>
  </si>
  <si>
    <t xml:space="preserve">PCBA-24V-White led </t>
  </si>
  <si>
    <t>2010300712-00</t>
  </si>
  <si>
    <t xml:space="preserve">PCB HOUSING 24V </t>
  </si>
  <si>
    <t>2010300713-00</t>
  </si>
  <si>
    <t xml:space="preserve">PCB HOUSING 12V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</si>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</sst>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8" sqref="G8:I8"/>
    </sheetView>
  </sheetViews>
  <sheetFormatPr defaultRowHeight="14.4" x14ac:dyDescent="0.3"/>
  <cols>
    <col min="4" max="4" width="30.77734375" customWidth="1"/>
    <col min="5" max="5" width="16.33203125" customWidth="1"/>
    <col min="6" max="6" width="13.77734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9</v>
      </c>
      <c r="B3" s="6">
        <v>2010300481</v>
      </c>
      <c r="C3" s="7" t="s">
        <v>10</v>
      </c>
      <c r="D3" s="7" t="s">
        <v>11</v>
      </c>
      <c r="E3" s="8">
        <v>55000.000000000073</v>
      </c>
      <c r="F3" s="9">
        <v>3.0530000000000004</v>
      </c>
      <c r="G3" s="10">
        <v>0.42833590000000005</v>
      </c>
      <c r="H3" s="8">
        <f>(F3*E3)</f>
        <v>167915.00000000023</v>
      </c>
      <c r="I3" s="11">
        <v>23558.474500000033</v>
      </c>
    </row>
    <row r="4" spans="1:9" x14ac:dyDescent="0.3">
      <c r="A4" s="7" t="s">
        <v>12</v>
      </c>
      <c r="B4" s="7">
        <v>2010300102</v>
      </c>
      <c r="C4" s="7" t="s">
        <v>10</v>
      </c>
      <c r="D4" s="7" t="s">
        <v>11</v>
      </c>
      <c r="E4" s="8">
        <v>8000.0000000000109</v>
      </c>
      <c r="F4" s="9">
        <v>2.7330000000000001</v>
      </c>
      <c r="G4" s="12">
        <v>0.38343990000000006</v>
      </c>
      <c r="H4" s="8">
        <f t="shared" ref="H4:H7" si="0">(F4*E4)</f>
        <v>21864.000000000029</v>
      </c>
      <c r="I4" s="11">
        <v>3067.5192000000047</v>
      </c>
    </row>
    <row r="5" spans="1:9" x14ac:dyDescent="0.3">
      <c r="A5" s="7" t="s">
        <v>13</v>
      </c>
      <c r="B5" s="7">
        <v>6010300722</v>
      </c>
      <c r="C5" s="7" t="s">
        <v>14</v>
      </c>
      <c r="D5" s="7" t="s">
        <v>11</v>
      </c>
      <c r="E5" s="8">
        <v>7303</v>
      </c>
      <c r="F5" s="9">
        <v>2.2453599999999998</v>
      </c>
      <c r="G5" s="12">
        <v>0.31502400799999997</v>
      </c>
      <c r="H5" s="8">
        <f t="shared" si="0"/>
        <v>16397.864079999999</v>
      </c>
      <c r="I5" s="11">
        <v>2300.6203304239998</v>
      </c>
    </row>
    <row r="6" spans="1:9" x14ac:dyDescent="0.3">
      <c r="A6" s="7" t="s">
        <v>15</v>
      </c>
      <c r="B6" s="7">
        <v>2010300712</v>
      </c>
      <c r="C6" s="7" t="s">
        <v>16</v>
      </c>
      <c r="D6" s="7" t="s">
        <v>11</v>
      </c>
      <c r="E6" s="8">
        <v>3600</v>
      </c>
      <c r="F6" s="9">
        <v>3.3</v>
      </c>
      <c r="G6" s="12">
        <v>0.46299000000000001</v>
      </c>
      <c r="H6" s="8">
        <f t="shared" si="0"/>
        <v>11880</v>
      </c>
      <c r="I6" s="11">
        <v>1666.7640000000001</v>
      </c>
    </row>
    <row r="7" spans="1:9" x14ac:dyDescent="0.3">
      <c r="A7" s="7" t="s">
        <v>17</v>
      </c>
      <c r="B7" s="7">
        <v>2010300713</v>
      </c>
      <c r="C7" s="7" t="s">
        <v>18</v>
      </c>
      <c r="D7" s="7" t="s">
        <v>11</v>
      </c>
      <c r="E7" s="8">
        <v>2820.0000000000041</v>
      </c>
      <c r="F7" s="9">
        <v>3.3</v>
      </c>
      <c r="G7" s="12">
        <v>0.46299000000000001</v>
      </c>
      <c r="H7" s="8">
        <f t="shared" si="0"/>
        <v>9306.0000000000127</v>
      </c>
      <c r="I7" s="11">
        <v>1305.6318000000019</v>
      </c>
    </row>
    <row r="8" spans="1:9" x14ac:dyDescent="0.3">
      <c r="G8" s="13" t="s">
        <v>19</v>
      </c>
      <c r="H8" s="14">
        <f>SUM(H3:H7)</f>
        <v>227362.86408000026</v>
      </c>
      <c r="I8" s="14">
        <f>SUM(I3:I7)</f>
        <v>31899.009830424042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2026-06-03T10:25:01Z</dcterms:modified>
</cp:coreProperties>
</file>