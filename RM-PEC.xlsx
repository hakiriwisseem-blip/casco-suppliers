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A33177CB-4D40-4EB4-82A9-2D57EEB915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H2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</calcChain>
</file>

<file path=xl/sharedStrings.xml><?xml version="1.0" encoding="utf-8"?>
<sst xmlns="http://schemas.openxmlformats.org/spreadsheetml/2006/main" count="70" uniqueCount="51">
  <si>
    <t>CAT PN</t>
  </si>
  <si>
    <t>PN without Eng. Indices</t>
  </si>
  <si>
    <t>Description</t>
  </si>
  <si>
    <t>CAT Direct Supplier</t>
  </si>
  <si>
    <t>CY2026 Total demand (UM)</t>
  </si>
  <si>
    <t>Related Unit Price €</t>
  </si>
  <si>
    <t>Related Unit Price $</t>
  </si>
  <si>
    <t>Yearly Spend €</t>
  </si>
  <si>
    <t>Yearly Spend $</t>
  </si>
  <si>
    <t>1055400616-02</t>
  </si>
  <si>
    <t>3.6KW HVPO FACE PLATE Stellantis BP</t>
  </si>
  <si>
    <t>2020401315-00</t>
  </si>
  <si>
    <t xml:space="preserve">flip cover </t>
  </si>
  <si>
    <t>3020401394-01</t>
  </si>
  <si>
    <t>COVER TESLA</t>
  </si>
  <si>
    <t>3020401395-01</t>
  </si>
  <si>
    <t>MOUNTING RING TESLA</t>
  </si>
  <si>
    <t>1055400620-03</t>
  </si>
  <si>
    <t>3.6KW HVPO COVER A Stellantis</t>
  </si>
  <si>
    <t>1055400711-03</t>
  </si>
  <si>
    <t xml:space="preserve"> Hinge cover B 3.6kW BP HVPO Stellantis</t>
  </si>
  <si>
    <t>1055400617-02</t>
  </si>
  <si>
    <t>3.6KW HVPO Rear Housing Stellantis</t>
  </si>
  <si>
    <t>1055400618-02</t>
  </si>
  <si>
    <t>3.6KW HVPO TERMINAL HOLD Stellantis</t>
  </si>
  <si>
    <t>3073400589-01</t>
  </si>
  <si>
    <t xml:space="preserve">Front housing </t>
  </si>
  <si>
    <t>3020401397-01</t>
  </si>
  <si>
    <t>EXTERNAL INSULATOR TESLA</t>
  </si>
  <si>
    <t>3073400590-00</t>
  </si>
  <si>
    <t xml:space="preserve">Rear cover </t>
  </si>
  <si>
    <t>1055400622-02</t>
  </si>
  <si>
    <t>3.6KW HVPO Hinge Stellantis</t>
  </si>
  <si>
    <t>2020401328-00</t>
  </si>
  <si>
    <t xml:space="preserve">Connector housing </t>
  </si>
  <si>
    <t>2020401329-00</t>
  </si>
  <si>
    <t xml:space="preserve">Key protection ring </t>
  </si>
  <si>
    <t>6020401058-00</t>
  </si>
  <si>
    <t xml:space="preserve">RING FORD </t>
  </si>
  <si>
    <t>1055400619-00</t>
  </si>
  <si>
    <t>3.6KW HVPO LIGHT PIPE Stellantis</t>
  </si>
  <si>
    <t>1055400775-00</t>
  </si>
  <si>
    <t>FACEPLATE 3.6kW HVPO BP Stellantis 68643791AA</t>
  </si>
  <si>
    <t>1055400776-00</t>
  </si>
  <si>
    <t>REAR HOUSING 3.6kW HVPO Stellantis 68643791AA</t>
  </si>
  <si>
    <t>1055400763-00</t>
  </si>
  <si>
    <t>3.6KW TERMINAL HOLDER Stellantis</t>
  </si>
  <si>
    <t>2020401343-00A</t>
  </si>
  <si>
    <t xml:space="preserve">clamping ring BMW MP </t>
  </si>
  <si>
    <t>PLASTIC ELECTROMECHANIC COMP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</si>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</sst>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7" formatCode="_-* #,##0.00_-;\-* #,##0.00_-;_-* &quot;-&quot;??_-;_-@_-"/>
    <numFmt numFmtId="168" formatCode="_-* #,##0_-;\-* #,##0_-;_-* &quot;-&quot;??_-;_-@_-"/>
    <numFmt numFmtId="169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8" fontId="0" fillId="0" borderId="6" xfId="0" applyNumberFormat="1" applyBorder="1"/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8" fontId="0" fillId="2" borderId="5" xfId="1" applyNumberFormat="1" applyFont="1" applyFill="1" applyBorder="1"/>
    <xf numFmtId="169" fontId="0" fillId="0" borderId="5" xfId="1" applyNumberFormat="1" applyFont="1" applyBorder="1"/>
    <xf numFmtId="169" fontId="0" fillId="0" borderId="5" xfId="1" applyNumberFormat="1" applyFont="1" applyBorder="1" applyAlignment="1">
      <alignment horizontal="center"/>
    </xf>
    <xf numFmtId="169" fontId="0" fillId="0" borderId="6" xfId="1" applyNumberFormat="1" applyFont="1" applyBorder="1" applyAlignment="1">
      <alignment horizontal="center"/>
    </xf>
    <xf numFmtId="0" fontId="2" fillId="3" borderId="5" xfId="0" applyFont="1" applyFill="1" applyBorder="1"/>
    <xf numFmtId="168" fontId="2" fillId="3" borderId="5" xfId="0" applyNumberFormat="1" applyFont="1" applyFill="1" applyBorder="1"/>
  </cellXfs>
  <cellStyles count="4">
    <cellStyle name="Comma" xfId="1" builtinId="3"/>
    <cellStyle name="Comma 2" xfId="3" xr:uid="{06CADC29-5CC5-4240-A2F9-071E70986C7A}"/>
    <cellStyle name="Comma 3" xfId="2" xr:uid="{DCABD183-C1CB-4965-A3A0-81479B03D310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H25" sqref="H25"/>
    </sheetView>
  </sheetViews>
  <sheetFormatPr defaultRowHeight="14.4" x14ac:dyDescent="0.3"/>
  <cols>
    <col min="1" max="1" width="15.88671875" customWidth="1"/>
    <col min="2" max="2" width="14.77734375" customWidth="1"/>
    <col min="3" max="3" width="41.5546875" customWidth="1"/>
    <col min="4" max="4" width="30.21875" customWidth="1"/>
    <col min="5" max="5" width="12" customWidth="1"/>
    <col min="6" max="6" width="11.21875" customWidth="1"/>
    <col min="7" max="7" width="12.109375" customWidth="1"/>
    <col min="8" max="8" width="10" customWidth="1"/>
    <col min="9" max="9" width="16.109375" customWidth="1"/>
  </cols>
  <sheetData>
    <row r="1" spans="1:9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Bot="1" x14ac:dyDescent="0.35">
      <c r="A2" s="7"/>
      <c r="B2" s="8"/>
      <c r="C2" s="8"/>
      <c r="D2" s="8"/>
      <c r="E2" s="5"/>
      <c r="F2" s="5"/>
      <c r="G2" s="5"/>
      <c r="H2" s="5"/>
      <c r="I2" s="5"/>
    </row>
    <row r="3" spans="1:9" x14ac:dyDescent="0.3">
      <c r="A3" s="2" t="s">
        <v>9</v>
      </c>
      <c r="B3" s="2">
        <v>1055400616</v>
      </c>
      <c r="C3" s="3" t="s">
        <v>10</v>
      </c>
      <c r="D3" s="3" t="s">
        <v>49</v>
      </c>
      <c r="E3" s="9">
        <v>51600.000571208002</v>
      </c>
      <c r="F3" s="10">
        <v>2.0760000000000001</v>
      </c>
      <c r="G3" s="11">
        <v>2.4210311999999998</v>
      </c>
      <c r="H3" s="4">
        <f>(F3*E3)</f>
        <v>107121.60118582782</v>
      </c>
      <c r="I3" s="4">
        <v>124925.21130291239</v>
      </c>
    </row>
    <row r="4" spans="1:9" x14ac:dyDescent="0.3">
      <c r="A4" s="2" t="s">
        <v>11</v>
      </c>
      <c r="B4" s="2">
        <v>2020401315</v>
      </c>
      <c r="C4" s="3" t="s">
        <v>12</v>
      </c>
      <c r="D4" s="3" t="s">
        <v>49</v>
      </c>
      <c r="E4" s="9">
        <v>1000000.0000000013</v>
      </c>
      <c r="F4" s="10">
        <v>7.6000000000000012E-2</v>
      </c>
      <c r="G4" s="12">
        <v>8.8631200000000007E-2</v>
      </c>
      <c r="H4" s="4">
        <f t="shared" ref="H4:H22" si="0">(F4*E4)</f>
        <v>76000.000000000116</v>
      </c>
      <c r="I4" s="4">
        <v>88631.200000000114</v>
      </c>
    </row>
    <row r="5" spans="1:9" x14ac:dyDescent="0.3">
      <c r="A5" s="2" t="s">
        <v>13</v>
      </c>
      <c r="B5" s="2">
        <v>3020401394</v>
      </c>
      <c r="C5" s="3" t="s">
        <v>14</v>
      </c>
      <c r="D5" s="3" t="s">
        <v>49</v>
      </c>
      <c r="E5" s="9">
        <v>1303018.0000000002</v>
      </c>
      <c r="F5" s="10">
        <v>5.5000000000000007E-2</v>
      </c>
      <c r="G5" s="12">
        <v>6.4141000000000004E-2</v>
      </c>
      <c r="H5" s="4">
        <f t="shared" si="0"/>
        <v>71665.99000000002</v>
      </c>
      <c r="I5" s="4">
        <v>83576.877538000015</v>
      </c>
    </row>
    <row r="6" spans="1:9" x14ac:dyDescent="0.3">
      <c r="A6" s="2" t="s">
        <v>15</v>
      </c>
      <c r="B6" s="2">
        <v>3020401395</v>
      </c>
      <c r="C6" s="3" t="s">
        <v>16</v>
      </c>
      <c r="D6" s="3" t="s">
        <v>49</v>
      </c>
      <c r="E6" s="9">
        <v>1303018.0000000002</v>
      </c>
      <c r="F6" s="10">
        <v>5.2999999999999999E-2</v>
      </c>
      <c r="G6" s="12">
        <v>6.1808599999999991E-2</v>
      </c>
      <c r="H6" s="4">
        <f t="shared" si="0"/>
        <v>69059.954000000012</v>
      </c>
      <c r="I6" s="4">
        <v>80537.718354800003</v>
      </c>
    </row>
    <row r="7" spans="1:9" x14ac:dyDescent="0.3">
      <c r="A7" s="2" t="s">
        <v>17</v>
      </c>
      <c r="B7" s="2">
        <v>1055400620</v>
      </c>
      <c r="C7" s="3" t="s">
        <v>18</v>
      </c>
      <c r="D7" s="3" t="s">
        <v>49</v>
      </c>
      <c r="E7" s="9">
        <v>52625.568571208001</v>
      </c>
      <c r="F7" s="10">
        <v>1.294</v>
      </c>
      <c r="G7" s="11">
        <v>1.5090627999999999</v>
      </c>
      <c r="H7" s="4">
        <f t="shared" si="0"/>
        <v>68097.485731143155</v>
      </c>
      <c r="I7" s="4">
        <v>79415.287859659147</v>
      </c>
    </row>
    <row r="8" spans="1:9" x14ac:dyDescent="0.3">
      <c r="A8" s="2" t="s">
        <v>19</v>
      </c>
      <c r="B8" s="2">
        <v>1055400711</v>
      </c>
      <c r="C8" s="3" t="s">
        <v>20</v>
      </c>
      <c r="D8" s="3" t="s">
        <v>49</v>
      </c>
      <c r="E8" s="9">
        <v>52625.568571208001</v>
      </c>
      <c r="F8" s="10">
        <v>1.294</v>
      </c>
      <c r="G8" s="11">
        <v>1.5090627999999999</v>
      </c>
      <c r="H8" s="4">
        <f t="shared" si="0"/>
        <v>68097.485731143155</v>
      </c>
      <c r="I8" s="4">
        <v>79415.287859659147</v>
      </c>
    </row>
    <row r="9" spans="1:9" x14ac:dyDescent="0.3">
      <c r="A9" s="2" t="s">
        <v>21</v>
      </c>
      <c r="B9" s="2">
        <v>1055400617</v>
      </c>
      <c r="C9" s="3" t="s">
        <v>22</v>
      </c>
      <c r="D9" s="3" t="s">
        <v>49</v>
      </c>
      <c r="E9" s="9">
        <v>51600.000571208002</v>
      </c>
      <c r="F9" s="10">
        <v>1.2709999999999999</v>
      </c>
      <c r="G9" s="12">
        <v>1.4822401999999997</v>
      </c>
      <c r="H9" s="4">
        <f t="shared" si="0"/>
        <v>65583.600726005359</v>
      </c>
      <c r="I9" s="4">
        <v>76483.595166667452</v>
      </c>
    </row>
    <row r="10" spans="1:9" x14ac:dyDescent="0.3">
      <c r="A10" s="3" t="s">
        <v>23</v>
      </c>
      <c r="B10" s="3">
        <v>1055400618</v>
      </c>
      <c r="C10" s="3" t="s">
        <v>24</v>
      </c>
      <c r="D10" s="3" t="s">
        <v>49</v>
      </c>
      <c r="E10" s="9">
        <v>51600.000571208002</v>
      </c>
      <c r="F10" s="10">
        <v>0.97799999999999998</v>
      </c>
      <c r="G10" s="12">
        <v>1.1405436</v>
      </c>
      <c r="H10" s="4">
        <f t="shared" si="0"/>
        <v>50464.800558641422</v>
      </c>
      <c r="I10" s="4">
        <v>58852.050411487631</v>
      </c>
    </row>
    <row r="11" spans="1:9" x14ac:dyDescent="0.3">
      <c r="A11" s="2" t="s">
        <v>25</v>
      </c>
      <c r="B11" s="2">
        <v>3073400589</v>
      </c>
      <c r="C11" s="3" t="s">
        <v>26</v>
      </c>
      <c r="D11" s="3" t="s">
        <v>49</v>
      </c>
      <c r="E11" s="9">
        <v>150000.0000000002</v>
      </c>
      <c r="F11" s="10">
        <v>0.24199999999999999</v>
      </c>
      <c r="G11" s="11">
        <v>0.28222039999999998</v>
      </c>
      <c r="H11" s="4">
        <f t="shared" si="0"/>
        <v>36300.000000000051</v>
      </c>
      <c r="I11" s="4">
        <v>42333.060000000056</v>
      </c>
    </row>
    <row r="12" spans="1:9" x14ac:dyDescent="0.3">
      <c r="A12" s="2" t="s">
        <v>27</v>
      </c>
      <c r="B12" s="2">
        <v>3020401397</v>
      </c>
      <c r="C12" s="3" t="s">
        <v>28</v>
      </c>
      <c r="D12" s="3" t="s">
        <v>49</v>
      </c>
      <c r="E12" s="9">
        <v>1303018.0000000002</v>
      </c>
      <c r="F12" s="10">
        <v>1.4999999999999999E-2</v>
      </c>
      <c r="G12" s="11">
        <v>1.7492999999999998E-2</v>
      </c>
      <c r="H12" s="4">
        <f t="shared" si="0"/>
        <v>19545.270000000004</v>
      </c>
      <c r="I12" s="4">
        <v>22793.693874000001</v>
      </c>
    </row>
    <row r="13" spans="1:9" x14ac:dyDescent="0.3">
      <c r="A13" s="2" t="s">
        <v>29</v>
      </c>
      <c r="B13" s="2">
        <v>3073400590</v>
      </c>
      <c r="C13" s="3" t="s">
        <v>30</v>
      </c>
      <c r="D13" s="3" t="s">
        <v>49</v>
      </c>
      <c r="E13" s="9">
        <v>150000.0000000002</v>
      </c>
      <c r="F13" s="10">
        <v>9.2999999999999999E-2</v>
      </c>
      <c r="G13" s="11">
        <v>0.10845659999999999</v>
      </c>
      <c r="H13" s="4">
        <f t="shared" si="0"/>
        <v>13950.000000000018</v>
      </c>
      <c r="I13" s="4">
        <v>16268.49000000002</v>
      </c>
    </row>
    <row r="14" spans="1:9" x14ac:dyDescent="0.3">
      <c r="A14" s="2" t="s">
        <v>31</v>
      </c>
      <c r="B14" s="2">
        <v>1055400622</v>
      </c>
      <c r="C14" s="3" t="s">
        <v>32</v>
      </c>
      <c r="D14" s="3" t="s">
        <v>49</v>
      </c>
      <c r="E14" s="9">
        <v>132371.13744263232</v>
      </c>
      <c r="F14" s="10">
        <v>0.10199999999999999</v>
      </c>
      <c r="G14" s="11">
        <v>0.11895239999999999</v>
      </c>
      <c r="H14" s="4">
        <f t="shared" si="0"/>
        <v>13501.856019148496</v>
      </c>
      <c r="I14" s="4">
        <v>15745.864489530975</v>
      </c>
    </row>
    <row r="15" spans="1:9" x14ac:dyDescent="0.3">
      <c r="A15" s="2" t="s">
        <v>33</v>
      </c>
      <c r="B15" s="2">
        <v>2020401328</v>
      </c>
      <c r="C15" s="3" t="s">
        <v>34</v>
      </c>
      <c r="D15" s="3" t="s">
        <v>49</v>
      </c>
      <c r="E15" s="9">
        <v>215700</v>
      </c>
      <c r="F15" s="10">
        <v>3.3500000000000002E-2</v>
      </c>
      <c r="G15" s="11">
        <v>3.9067699999999997E-2</v>
      </c>
      <c r="H15" s="4">
        <f t="shared" si="0"/>
        <v>7225.9500000000007</v>
      </c>
      <c r="I15" s="4">
        <v>8426.9028899999994</v>
      </c>
    </row>
    <row r="16" spans="1:9" x14ac:dyDescent="0.3">
      <c r="A16" s="2" t="s">
        <v>35</v>
      </c>
      <c r="B16" s="2">
        <v>2020401329</v>
      </c>
      <c r="C16" s="3" t="s">
        <v>36</v>
      </c>
      <c r="D16" s="3" t="s">
        <v>49</v>
      </c>
      <c r="E16" s="9">
        <v>215700</v>
      </c>
      <c r="F16" s="10">
        <v>2.6499999999999999E-2</v>
      </c>
      <c r="G16" s="12">
        <v>3.0904299999999996E-2</v>
      </c>
      <c r="H16" s="4">
        <f t="shared" si="0"/>
        <v>5716.05</v>
      </c>
      <c r="I16" s="4">
        <v>6666.0575099999987</v>
      </c>
    </row>
    <row r="17" spans="1:9" x14ac:dyDescent="0.3">
      <c r="A17" s="2" t="s">
        <v>37</v>
      </c>
      <c r="B17" s="2">
        <v>6020401058</v>
      </c>
      <c r="C17" s="3" t="s">
        <v>38</v>
      </c>
      <c r="D17" s="3" t="s">
        <v>49</v>
      </c>
      <c r="E17" s="9">
        <v>68060</v>
      </c>
      <c r="F17" s="10">
        <v>7.0999999999999994E-2</v>
      </c>
      <c r="G17" s="11">
        <v>8.280019999999999E-2</v>
      </c>
      <c r="H17" s="4">
        <f t="shared" si="0"/>
        <v>4832.2599999999993</v>
      </c>
      <c r="I17" s="4">
        <v>5635.3816119999992</v>
      </c>
    </row>
    <row r="18" spans="1:9" x14ac:dyDescent="0.3">
      <c r="A18" s="2" t="s">
        <v>39</v>
      </c>
      <c r="B18" s="2">
        <v>1055400619</v>
      </c>
      <c r="C18" s="3" t="s">
        <v>40</v>
      </c>
      <c r="D18" s="3" t="s">
        <v>49</v>
      </c>
      <c r="E18" s="9">
        <v>105251.137142416</v>
      </c>
      <c r="F18" s="10">
        <v>4.3999999999999997E-2</v>
      </c>
      <c r="G18" s="11">
        <v>5.1312799999999992E-2</v>
      </c>
      <c r="H18" s="4">
        <f t="shared" si="0"/>
        <v>4631.0500342663036</v>
      </c>
      <c r="I18" s="4">
        <v>5400.7305499613631</v>
      </c>
    </row>
    <row r="19" spans="1:9" x14ac:dyDescent="0.3">
      <c r="A19" s="3" t="s">
        <v>41</v>
      </c>
      <c r="B19" s="3">
        <v>1055400775</v>
      </c>
      <c r="C19" s="3" t="s">
        <v>42</v>
      </c>
      <c r="D19" s="3" t="s">
        <v>49</v>
      </c>
      <c r="E19" s="9">
        <v>1025.568</v>
      </c>
      <c r="F19" s="10">
        <v>2.298</v>
      </c>
      <c r="G19" s="11">
        <v>2.6799275999999996</v>
      </c>
      <c r="H19" s="4">
        <f t="shared" si="0"/>
        <v>2356.7552639999999</v>
      </c>
      <c r="I19" s="4">
        <v>2748.4479888767996</v>
      </c>
    </row>
    <row r="20" spans="1:9" x14ac:dyDescent="0.3">
      <c r="A20" s="3" t="s">
        <v>43</v>
      </c>
      <c r="B20" s="3">
        <v>1055400776</v>
      </c>
      <c r="C20" s="3" t="s">
        <v>44</v>
      </c>
      <c r="D20" s="3" t="s">
        <v>49</v>
      </c>
      <c r="E20" s="9">
        <v>1025.568</v>
      </c>
      <c r="F20" s="10">
        <v>1.913</v>
      </c>
      <c r="G20" s="11">
        <v>2.2309405999999998</v>
      </c>
      <c r="H20" s="4">
        <f t="shared" si="0"/>
        <v>1961.9115839999999</v>
      </c>
      <c r="I20" s="4">
        <v>2287.9812892607997</v>
      </c>
    </row>
    <row r="21" spans="1:9" x14ac:dyDescent="0.3">
      <c r="A21" s="3" t="s">
        <v>45</v>
      </c>
      <c r="B21" s="3">
        <v>1055400763</v>
      </c>
      <c r="C21" s="3" t="s">
        <v>46</v>
      </c>
      <c r="D21" s="3" t="s">
        <v>49</v>
      </c>
      <c r="E21" s="9">
        <v>1025.568</v>
      </c>
      <c r="F21" s="10">
        <v>0.84699999999999998</v>
      </c>
      <c r="G21" s="11">
        <v>0.98777139999999986</v>
      </c>
      <c r="H21" s="4">
        <f t="shared" si="0"/>
        <v>868.65609599999993</v>
      </c>
      <c r="I21" s="4">
        <v>1013.0267391551998</v>
      </c>
    </row>
    <row r="22" spans="1:9" x14ac:dyDescent="0.3">
      <c r="A22" s="2" t="s">
        <v>47</v>
      </c>
      <c r="B22" s="2">
        <v>2020401343</v>
      </c>
      <c r="C22" s="3" t="s">
        <v>48</v>
      </c>
      <c r="D22" s="3" t="s">
        <v>49</v>
      </c>
      <c r="E22" s="9">
        <v>26124.000035991692</v>
      </c>
      <c r="F22" s="10">
        <v>3.3000000000000002E-2</v>
      </c>
      <c r="G22" s="12">
        <v>3.8484600000000001E-2</v>
      </c>
      <c r="H22" s="4">
        <f t="shared" si="0"/>
        <v>862.09200118772583</v>
      </c>
      <c r="I22" s="4">
        <v>1005.3716917851259</v>
      </c>
    </row>
    <row r="23" spans="1:9" x14ac:dyDescent="0.3">
      <c r="G23" s="13" t="s">
        <v>50</v>
      </c>
      <c r="H23" s="14">
        <f>SUM(H3:H22)</f>
        <v>687842.76893136359</v>
      </c>
      <c r="I23" s="14">
        <f>SUM(I3:I22)</f>
        <v>802162.23712775635</v>
      </c>
    </row>
  </sheetData>
  <mergeCells count="9">
    <mergeCell ref="I1:I2"/>
    <mergeCell ref="G1:G2"/>
    <mergeCell ref="H1:H2"/>
    <mergeCell ref="A1:A2"/>
    <mergeCell ref="B1:B2"/>
    <mergeCell ref="C1:C2"/>
    <mergeCell ref="D1:D2"/>
    <mergeCell ref="E1:E2"/>
    <mergeCell ref="F1:F2"/>
  </mergeCells>
  <conditionalFormatting sqref="B3:B2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2026-06-02T08:05:19Z</dcterms:modified>
</cp:coreProperties>
</file>