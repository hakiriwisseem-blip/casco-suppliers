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15AE6F16-CA33-411A-BA79-9F7FAA275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H4" i="1"/>
  <c r="H3" i="1"/>
</calcChain>
</file>

<file path=xl/sharedStrings.xml><?xml version="1.0" encoding="utf-8"?>
<sst xmlns="http://schemas.openxmlformats.org/spreadsheetml/2006/main" count="16" uniqueCount="15">
  <si>
    <t>CAT PN</t>
  </si>
  <si>
    <t>PN without Eng. Indices</t>
  </si>
  <si>
    <t>Description</t>
  </si>
  <si>
    <t>CAT Direct Supplier</t>
  </si>
  <si>
    <t>CY2026 Total demand (UM)</t>
  </si>
  <si>
    <t>Related Unit Price ¥</t>
  </si>
  <si>
    <t>Related Unit Price $</t>
  </si>
  <si>
    <t>Yearly Spend ¥</t>
  </si>
  <si>
    <t>Yearly Spend $</t>
  </si>
  <si>
    <t>2010400733-00</t>
  </si>
  <si>
    <t>PLUG [9172807]</t>
  </si>
  <si>
    <t>Jiangsu Langyou Precision Ma</t>
  </si>
  <si>
    <t>3010400658-00</t>
  </si>
  <si>
    <t>SAFETY RING CENTER PUSH [813A235]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</si>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</sst>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4" fontId="2" fillId="3" borderId="5" xfId="0" applyNumberFormat="1" applyFont="1" applyFill="1" applyBorder="1"/>
    <xf numFmtId="0" fontId="2" fillId="3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16" sqref="J16:K16"/>
    </sheetView>
  </sheetViews>
  <sheetFormatPr defaultRowHeight="14.4" x14ac:dyDescent="0.3"/>
  <cols>
    <col min="1" max="1" width="16.6640625" customWidth="1"/>
    <col min="2" max="2" width="18.44140625" customWidth="1"/>
    <col min="3" max="3" width="19.21875" customWidth="1"/>
    <col min="4" max="4" width="27.88671875" customWidth="1"/>
    <col min="6" max="6" width="12.88671875" customWidth="1"/>
    <col min="7" max="7" width="11.441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2010400733</v>
      </c>
      <c r="C3" s="7" t="s">
        <v>10</v>
      </c>
      <c r="D3" s="7" t="s">
        <v>11</v>
      </c>
      <c r="E3" s="8">
        <v>55000</v>
      </c>
      <c r="F3" s="9">
        <v>0.89929999999999999</v>
      </c>
      <c r="G3" s="11">
        <v>0.12617179000000001</v>
      </c>
      <c r="H3" s="10">
        <f>(F3*E3)</f>
        <v>49461.5</v>
      </c>
      <c r="I3" s="10">
        <v>6939.4484500000008</v>
      </c>
    </row>
    <row r="4" spans="1:9" x14ac:dyDescent="0.3">
      <c r="A4" s="7" t="s">
        <v>12</v>
      </c>
      <c r="B4" s="7">
        <v>3010400658</v>
      </c>
      <c r="C4" s="7" t="s">
        <v>13</v>
      </c>
      <c r="D4" s="7" t="s">
        <v>11</v>
      </c>
      <c r="E4" s="8">
        <v>8964</v>
      </c>
      <c r="F4" s="9">
        <v>1.1634</v>
      </c>
      <c r="G4" s="11">
        <v>0.16322502</v>
      </c>
      <c r="H4" s="10">
        <f>(F4*E4)</f>
        <v>10428.7176</v>
      </c>
      <c r="I4" s="10">
        <v>1463.14907928</v>
      </c>
    </row>
    <row r="5" spans="1:9" x14ac:dyDescent="0.3">
      <c r="G5" s="13" t="s">
        <v>14</v>
      </c>
      <c r="H5" s="12">
        <f>SUM(H3:H4)</f>
        <v>59890.217600000004</v>
      </c>
      <c r="I5" s="12">
        <f>SUM(I3:I4)</f>
        <v>8402.5975292800013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2026-06-02T13:08:42Z</dcterms:modified>
</cp:coreProperties>
</file>