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F4758741-8DB8-409C-8529-09451EED072D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4" i="1"/>
  <c r="H3" i="1"/>
</calcChain>
</file>

<file path=xl/sharedStrings.xml><?xml version="1.0" encoding="utf-8"?>
<sst xmlns="http://schemas.openxmlformats.org/spreadsheetml/2006/main" count="16" uniqueCount="15">
  <si>
    <t>CAT PN</t>
  </si>
  <si>
    <t>PN without Eng. Indices</t>
  </si>
  <si>
    <t>Description</t>
  </si>
  <si>
    <t>CAT Direct Supplier</t>
  </si>
  <si>
    <t>CY2026 Total demand (UM)</t>
  </si>
  <si>
    <t>Related Unit Price €</t>
  </si>
  <si>
    <t>Related Unit Price $</t>
  </si>
  <si>
    <t>Yearly Spend €</t>
  </si>
  <si>
    <t>Yearly Spend $</t>
  </si>
  <si>
    <t>2020301210-01</t>
  </si>
  <si>
    <t>GND WIRE ASSEMBLY FORD V363</t>
  </si>
  <si>
    <t>CABLISYS TUNISIE</t>
  </si>
  <si>
    <t>2020301211-01</t>
  </si>
  <si>
    <t>PLUS WIRE ASSEMBLY FORD V363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</si>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</sst>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2" borderId="5" xfId="1" applyNumberFormat="1" applyFont="1" applyFill="1" applyBorder="1" applyAlignment="1">
      <alignment horizontal="center" vertical="center"/>
    </xf>
    <xf numFmtId="164" fontId="0" fillId="0" borderId="5" xfId="0" applyNumberFormat="1" applyBorder="1"/>
    <xf numFmtId="0" fontId="0" fillId="2" borderId="6" xfId="0" applyFill="1" applyBorder="1"/>
    <xf numFmtId="0" fontId="0" fillId="0" borderId="6" xfId="0" applyBorder="1"/>
    <xf numFmtId="164" fontId="0" fillId="2" borderId="6" xfId="1" applyNumberFormat="1" applyFont="1" applyFill="1" applyBorder="1"/>
    <xf numFmtId="166" fontId="0" fillId="0" borderId="6" xfId="1" applyNumberFormat="1" applyFont="1" applyBorder="1"/>
    <xf numFmtId="166" fontId="0" fillId="0" borderId="5" xfId="1" applyNumberFormat="1" applyFont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L10" sqref="L10"/>
    </sheetView>
  </sheetViews>
  <sheetFormatPr defaultRowHeight="14.4" x14ac:dyDescent="0.3"/>
  <cols>
    <col min="1" max="1" width="19.44140625" customWidth="1"/>
    <col min="2" max="2" width="22.21875" customWidth="1"/>
    <col min="3" max="3" width="30.6640625" customWidth="1"/>
    <col min="4" max="4" width="18.109375" customWidth="1"/>
    <col min="5" max="5" width="12.21875" customWidth="1"/>
    <col min="6" max="6" width="12.33203125" customWidth="1"/>
    <col min="7" max="7" width="11.44140625" customWidth="1"/>
    <col min="8" max="8" width="14.88671875" customWidth="1"/>
    <col min="9" max="9" width="16.1093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8" t="s">
        <v>9</v>
      </c>
      <c r="B3" s="8">
        <v>2020301210</v>
      </c>
      <c r="C3" s="9" t="s">
        <v>10</v>
      </c>
      <c r="D3" s="9" t="s">
        <v>11</v>
      </c>
      <c r="E3" s="10">
        <v>159561</v>
      </c>
      <c r="F3" s="11">
        <v>0.32750000000000001</v>
      </c>
      <c r="G3" s="12">
        <v>0.38193050000000001</v>
      </c>
      <c r="H3" s="6">
        <f>(F3*E3)</f>
        <v>52256.227500000001</v>
      </c>
      <c r="I3" s="7">
        <v>60941.212510500001</v>
      </c>
    </row>
    <row r="4" spans="1:9" x14ac:dyDescent="0.3">
      <c r="A4" s="8" t="s">
        <v>12</v>
      </c>
      <c r="B4" s="8">
        <v>2020301211</v>
      </c>
      <c r="C4" s="9" t="s">
        <v>13</v>
      </c>
      <c r="D4" s="9" t="s">
        <v>11</v>
      </c>
      <c r="E4" s="10">
        <v>159561</v>
      </c>
      <c r="F4" s="11">
        <v>0.31369999999999998</v>
      </c>
      <c r="G4" s="12">
        <v>0.36583693999999994</v>
      </c>
      <c r="H4" s="6">
        <f>(F4*E4)</f>
        <v>50054.285699999993</v>
      </c>
      <c r="I4" s="7">
        <v>58373.30798333999</v>
      </c>
    </row>
    <row r="5" spans="1:9" x14ac:dyDescent="0.3">
      <c r="H5" s="13" t="s">
        <v>14</v>
      </c>
      <c r="I5" s="14">
        <f>(I3+I4)</f>
        <v>119314.52049383998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3" priority="3"/>
    <cfRule type="duplicateValues" dxfId="2" priority="4"/>
  </conditionalFormatting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2026-05-19T13:53:27Z</dcterms:modified>
</cp:coreProperties>
</file>