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CA8C16F-F80A-4EAF-84A6-8ECB7E979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</calcChain>
</file>

<file path=xl/sharedStrings.xml><?xml version="1.0" encoding="utf-8"?>
<sst xmlns="http://schemas.openxmlformats.org/spreadsheetml/2006/main" count="91" uniqueCount="64">
  <si>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</si>
  <si>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</si>
  <si>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</si>
  <si>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</si>
  <si>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</si>
  <si>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</si>
  <si>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</si>
  <si>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</si>
  <si>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</si>
  <si>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1055400581-01</t>
  </si>
  <si>
    <t xml:space="preserve">INTERIOR HOUSING VW </t>
  </si>
  <si>
    <t>PLASTEEL TUNISIE S.A.R.L.</t>
  </si>
  <si>
    <t>1055400596-01</t>
  </si>
  <si>
    <t xml:space="preserve">Rear cover </t>
  </si>
  <si>
    <t>3055400144-00</t>
  </si>
  <si>
    <t xml:space="preserve">HOUSING,HVPO,920B </t>
  </si>
  <si>
    <t>2020400721-00</t>
  </si>
  <si>
    <t xml:space="preserve">SPANNHULSE </t>
  </si>
  <si>
    <t>1055400583-01</t>
  </si>
  <si>
    <t xml:space="preserve">TERMINAL HOLDER </t>
  </si>
  <si>
    <t>3055300078-00</t>
  </si>
  <si>
    <t xml:space="preserve">BASE PLATE,HVPO,920B </t>
  </si>
  <si>
    <t>2010400864-01</t>
  </si>
  <si>
    <t xml:space="preserve">COVER HINGED </t>
  </si>
  <si>
    <t>1055400168-03</t>
  </si>
  <si>
    <t>HVPO BP REAR HOUSING Stellantis 68581522AB</t>
  </si>
  <si>
    <t>1055400591-01</t>
  </si>
  <si>
    <t xml:space="preserve">Latch (Slider) </t>
  </si>
  <si>
    <t>2010300533-00</t>
  </si>
  <si>
    <t xml:space="preserve">KNOB ADAPTER </t>
  </si>
  <si>
    <t>6038400489-00</t>
  </si>
  <si>
    <t>Cover FIAT &amp; JLR SLS</t>
  </si>
  <si>
    <t>1055400582-01</t>
  </si>
  <si>
    <t xml:space="preserve">Light Guide </t>
  </si>
  <si>
    <t>2020401407-01</t>
  </si>
  <si>
    <t>CAP FORD V363</t>
  </si>
  <si>
    <t>6038400378-00</t>
  </si>
  <si>
    <t>COVER</t>
  </si>
  <si>
    <t>2020401413-01</t>
  </si>
  <si>
    <t>MOUNTING RING for FORD 12V 300W PO</t>
  </si>
  <si>
    <t>2010400863-00</t>
  </si>
  <si>
    <t xml:space="preserve">COUVERCLE DE PROTECTION </t>
  </si>
  <si>
    <t>2010400915-00</t>
  </si>
  <si>
    <t>Knopf</t>
  </si>
  <si>
    <t>2020401396-01</t>
  </si>
  <si>
    <t>POM PLATE FORD V363</t>
  </si>
  <si>
    <t>2010400871-00</t>
  </si>
  <si>
    <t>DECKELHALTERUNG 540</t>
  </si>
  <si>
    <t>1055400175-01</t>
  </si>
  <si>
    <t>HVPO BP TERMINAL HOLDER Stellantis 68581522AB</t>
  </si>
  <si>
    <t>3038400092-00</t>
  </si>
  <si>
    <t>COVER FORD WITHOUT ALARM E</t>
  </si>
  <si>
    <t>1055400176-02</t>
  </si>
  <si>
    <t>HVPO BP LIGHT GUIDE Stellantis 68581522AB</t>
  </si>
  <si>
    <t>2020401014-01</t>
  </si>
  <si>
    <t>Klappdeckel schwarz</t>
  </si>
  <si>
    <t>2010400369-02</t>
  </si>
  <si>
    <t>RING</t>
  </si>
  <si>
    <t>2020400481-01</t>
  </si>
  <si>
    <t>2010400368-00</t>
  </si>
  <si>
    <t xml:space="preserve">UPPER INSULATOR </t>
  </si>
  <si>
    <t>2010400361-01</t>
  </si>
  <si>
    <t xml:space="preserve">LOWER INSULATOR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</si>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</sst>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  <numFmt numFmtId="169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8" fontId="0" fillId="0" borderId="6" xfId="0" applyNumberFormat="1" applyBorder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8" fontId="0" fillId="2" borderId="5" xfId="1" applyNumberFormat="1" applyFont="1" applyFill="1" applyBorder="1"/>
    <xf numFmtId="169" fontId="0" fillId="0" borderId="5" xfId="1" applyNumberFormat="1" applyFont="1" applyBorder="1"/>
    <xf numFmtId="169" fontId="0" fillId="0" borderId="5" xfId="1" applyNumberFormat="1" applyFont="1" applyBorder="1" applyAlignment="1">
      <alignment horizontal="center"/>
    </xf>
    <xf numFmtId="169" fontId="0" fillId="0" borderId="6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8" fontId="2" fillId="3" borderId="5" xfId="0" applyNumberFormat="1" applyFont="1" applyFill="1" applyBorder="1"/>
  </cellXfs>
  <cellStyles count="4">
    <cellStyle name="Comma" xfId="1" builtinId="3"/>
    <cellStyle name="Comma 2" xfId="3" xr:uid="{C533A625-63B4-4897-8329-D5B36DB80F4E}"/>
    <cellStyle name="Comma 3" xfId="2" xr:uid="{32388088-FBFE-40F0-BEEE-5F2D72DDB339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6" workbookViewId="0">
      <selection activeCell="K28" sqref="K28:K30"/>
    </sheetView>
  </sheetViews>
  <sheetFormatPr defaultRowHeight="14.4" x14ac:dyDescent="0.3"/>
  <cols>
    <col min="1" max="2" width="20.5546875" customWidth="1"/>
    <col min="3" max="3" width="39.109375" customWidth="1"/>
    <col min="4" max="4" width="24.5546875" customWidth="1"/>
    <col min="5" max="5" width="12.33203125" customWidth="1"/>
    <col min="6" max="6" width="11.5546875" customWidth="1"/>
    <col min="7" max="7" width="14.44140625" customWidth="1"/>
  </cols>
  <sheetData>
    <row r="1" spans="1:9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5">
      <c r="A2" s="7"/>
      <c r="B2" s="8"/>
      <c r="C2" s="8"/>
      <c r="D2" s="8"/>
      <c r="E2" s="5"/>
      <c r="F2" s="5"/>
      <c r="G2" s="5"/>
      <c r="H2" s="5"/>
      <c r="I2" s="5"/>
    </row>
    <row r="3" spans="1:9" x14ac:dyDescent="0.3">
      <c r="A3" s="2" t="s">
        <v>9</v>
      </c>
      <c r="B3" s="2">
        <v>1055400581</v>
      </c>
      <c r="C3" s="3" t="s">
        <v>10</v>
      </c>
      <c r="D3" s="3" t="s">
        <v>11</v>
      </c>
      <c r="E3" s="9">
        <v>327773.35801824345</v>
      </c>
      <c r="F3" s="10">
        <v>0.50549999999999995</v>
      </c>
      <c r="G3" s="11">
        <v>0.58951409999999993</v>
      </c>
      <c r="H3" s="4">
        <f>(E3*F3)</f>
        <v>165689.43247822204</v>
      </c>
      <c r="I3" s="4">
        <v>193227.01615610256</v>
      </c>
    </row>
    <row r="4" spans="1:9" x14ac:dyDescent="0.3">
      <c r="A4" s="2" t="s">
        <v>12</v>
      </c>
      <c r="B4" s="2">
        <v>1055400596</v>
      </c>
      <c r="C4" s="3" t="s">
        <v>13</v>
      </c>
      <c r="D4" s="3" t="s">
        <v>11</v>
      </c>
      <c r="E4" s="9">
        <v>337773.35765269335</v>
      </c>
      <c r="F4" s="10">
        <v>0.25964999999999999</v>
      </c>
      <c r="G4" s="12">
        <v>0.30280382999999994</v>
      </c>
      <c r="H4" s="4">
        <f t="shared" ref="H4:H29" si="0">(E4*F4)</f>
        <v>87702.852314521821</v>
      </c>
      <c r="I4" s="4">
        <v>102279.06636919534</v>
      </c>
    </row>
    <row r="5" spans="1:9" x14ac:dyDescent="0.3">
      <c r="A5" s="2" t="s">
        <v>14</v>
      </c>
      <c r="B5" s="2">
        <v>3055400144</v>
      </c>
      <c r="C5" s="3" t="s">
        <v>15</v>
      </c>
      <c r="D5" s="3" t="s">
        <v>11</v>
      </c>
      <c r="E5" s="9">
        <v>28806.749999999996</v>
      </c>
      <c r="F5" s="10">
        <v>1.7902</v>
      </c>
      <c r="G5" s="12">
        <v>2.0877312399999997</v>
      </c>
      <c r="H5" s="4">
        <f t="shared" si="0"/>
        <v>51569.843849999997</v>
      </c>
      <c r="I5" s="4">
        <v>60140.751897869981</v>
      </c>
    </row>
    <row r="6" spans="1:9" x14ac:dyDescent="0.3">
      <c r="A6" s="2" t="s">
        <v>16</v>
      </c>
      <c r="B6" s="2">
        <v>2020400721</v>
      </c>
      <c r="C6" s="3" t="s">
        <v>17</v>
      </c>
      <c r="D6" s="3" t="s">
        <v>11</v>
      </c>
      <c r="E6" s="9">
        <v>1271806.2192029229</v>
      </c>
      <c r="F6" s="10">
        <v>2.8900000000000002E-2</v>
      </c>
      <c r="G6" s="12">
        <v>3.3703179999999999E-2</v>
      </c>
      <c r="H6" s="4">
        <f t="shared" si="0"/>
        <v>36755.199734964473</v>
      </c>
      <c r="I6" s="4">
        <v>42863.913930915565</v>
      </c>
    </row>
    <row r="7" spans="1:9" x14ac:dyDescent="0.3">
      <c r="A7" s="2" t="s">
        <v>18</v>
      </c>
      <c r="B7" s="2">
        <v>1055400583</v>
      </c>
      <c r="C7" s="3" t="s">
        <v>19</v>
      </c>
      <c r="D7" s="3" t="s">
        <v>11</v>
      </c>
      <c r="E7" s="9">
        <v>327773.35801824345</v>
      </c>
      <c r="F7" s="10">
        <v>8.3400000000000002E-2</v>
      </c>
      <c r="G7" s="11">
        <v>9.726108E-2</v>
      </c>
      <c r="H7" s="4">
        <f t="shared" si="0"/>
        <v>27336.298058721506</v>
      </c>
      <c r="I7" s="4">
        <v>31879.590796081018</v>
      </c>
    </row>
    <row r="8" spans="1:9" x14ac:dyDescent="0.3">
      <c r="A8" s="2" t="s">
        <v>20</v>
      </c>
      <c r="B8" s="2">
        <v>3055300078</v>
      </c>
      <c r="C8" s="3" t="s">
        <v>21</v>
      </c>
      <c r="D8" s="3" t="s">
        <v>11</v>
      </c>
      <c r="E8" s="9">
        <v>28806.749999999996</v>
      </c>
      <c r="F8" s="10">
        <v>0.71619999999999995</v>
      </c>
      <c r="G8" s="11">
        <v>0.83523243999999985</v>
      </c>
      <c r="H8" s="4">
        <f t="shared" si="0"/>
        <v>20631.394349999995</v>
      </c>
      <c r="I8" s="4">
        <v>24060.332090969994</v>
      </c>
    </row>
    <row r="9" spans="1:9" x14ac:dyDescent="0.3">
      <c r="A9" s="2" t="s">
        <v>22</v>
      </c>
      <c r="B9" s="2">
        <v>2010400864</v>
      </c>
      <c r="C9" s="3" t="s">
        <v>23</v>
      </c>
      <c r="D9" s="3" t="s">
        <v>11</v>
      </c>
      <c r="E9" s="9">
        <v>414500.00000000058</v>
      </c>
      <c r="F9" s="10">
        <v>4.6700000000000005E-2</v>
      </c>
      <c r="G9" s="12">
        <v>5.4461540000000003E-2</v>
      </c>
      <c r="H9" s="4">
        <f t="shared" si="0"/>
        <v>19357.150000000031</v>
      </c>
      <c r="I9" s="4">
        <v>22574.308330000033</v>
      </c>
    </row>
    <row r="10" spans="1:9" x14ac:dyDescent="0.3">
      <c r="A10" s="2" t="s">
        <v>24</v>
      </c>
      <c r="B10" s="2">
        <v>1055400168</v>
      </c>
      <c r="C10" s="3" t="s">
        <v>25</v>
      </c>
      <c r="D10" s="3" t="s">
        <v>11</v>
      </c>
      <c r="E10" s="9">
        <v>12011.200000000003</v>
      </c>
      <c r="F10" s="10">
        <v>1.524</v>
      </c>
      <c r="G10" s="12">
        <v>1.7772887999999998</v>
      </c>
      <c r="H10" s="4">
        <f t="shared" si="0"/>
        <v>18305.068800000005</v>
      </c>
      <c r="I10" s="4">
        <v>21347.371234560003</v>
      </c>
    </row>
    <row r="11" spans="1:9" x14ac:dyDescent="0.3">
      <c r="A11" s="2" t="s">
        <v>26</v>
      </c>
      <c r="B11" s="2">
        <v>1055400591</v>
      </c>
      <c r="C11" s="3" t="s">
        <v>27</v>
      </c>
      <c r="D11" s="3" t="s">
        <v>11</v>
      </c>
      <c r="E11" s="9">
        <v>327773.35801824345</v>
      </c>
      <c r="F11" s="10">
        <v>5.45E-2</v>
      </c>
      <c r="G11" s="11">
        <v>6.3557900000000001E-2</v>
      </c>
      <c r="H11" s="4">
        <f t="shared" si="0"/>
        <v>17863.648011994268</v>
      </c>
      <c r="I11" s="4">
        <v>20832.586311587715</v>
      </c>
    </row>
    <row r="12" spans="1:9" x14ac:dyDescent="0.3">
      <c r="A12" s="2" t="s">
        <v>28</v>
      </c>
      <c r="B12" s="2">
        <v>2010300533</v>
      </c>
      <c r="C12" s="3" t="s">
        <v>29</v>
      </c>
      <c r="D12" s="3" t="s">
        <v>11</v>
      </c>
      <c r="E12" s="9">
        <v>84285.000000000116</v>
      </c>
      <c r="F12" s="10">
        <v>0.15529999999999999</v>
      </c>
      <c r="G12" s="11">
        <v>0.18111085999999998</v>
      </c>
      <c r="H12" s="4">
        <f t="shared" si="0"/>
        <v>13089.460500000017</v>
      </c>
      <c r="I12" s="4">
        <v>15264.92883510002</v>
      </c>
    </row>
    <row r="13" spans="1:9" x14ac:dyDescent="0.3">
      <c r="A13" s="2" t="s">
        <v>30</v>
      </c>
      <c r="B13" s="2">
        <v>6038400489</v>
      </c>
      <c r="C13" s="3" t="s">
        <v>31</v>
      </c>
      <c r="D13" s="3" t="s">
        <v>11</v>
      </c>
      <c r="E13" s="9">
        <v>569910</v>
      </c>
      <c r="F13" s="10">
        <v>2.1000000000000001E-2</v>
      </c>
      <c r="G13" s="11">
        <v>2.44902E-2</v>
      </c>
      <c r="H13" s="4">
        <f t="shared" si="0"/>
        <v>11968.11</v>
      </c>
      <c r="I13" s="4">
        <v>13957.209881999999</v>
      </c>
    </row>
    <row r="14" spans="1:9" x14ac:dyDescent="0.3">
      <c r="A14" s="2" t="s">
        <v>32</v>
      </c>
      <c r="B14" s="2">
        <v>1055400582</v>
      </c>
      <c r="C14" s="3" t="s">
        <v>33</v>
      </c>
      <c r="D14" s="3" t="s">
        <v>11</v>
      </c>
      <c r="E14" s="9">
        <v>337773.35765269335</v>
      </c>
      <c r="F14" s="10">
        <v>3.15E-2</v>
      </c>
      <c r="G14" s="11">
        <v>3.6735299999999999E-2</v>
      </c>
      <c r="H14" s="4">
        <f t="shared" si="0"/>
        <v>10639.860766059841</v>
      </c>
      <c r="I14" s="4">
        <v>12408.205625378985</v>
      </c>
    </row>
    <row r="15" spans="1:9" x14ac:dyDescent="0.3">
      <c r="A15" s="2" t="s">
        <v>34</v>
      </c>
      <c r="B15" s="2">
        <v>2020401407</v>
      </c>
      <c r="C15" s="3" t="s">
        <v>35</v>
      </c>
      <c r="D15" s="3" t="s">
        <v>11</v>
      </c>
      <c r="E15" s="9">
        <v>159561</v>
      </c>
      <c r="F15" s="10">
        <v>6.6299999999999998E-2</v>
      </c>
      <c r="G15" s="11">
        <v>7.7319059999999995E-2</v>
      </c>
      <c r="H15" s="4">
        <f t="shared" si="0"/>
        <v>10578.8943</v>
      </c>
      <c r="I15" s="4">
        <v>12337.10653266</v>
      </c>
    </row>
    <row r="16" spans="1:9" x14ac:dyDescent="0.3">
      <c r="A16" s="2" t="s">
        <v>36</v>
      </c>
      <c r="B16" s="2">
        <v>6038400378</v>
      </c>
      <c r="C16" s="3" t="s">
        <v>37</v>
      </c>
      <c r="D16" s="3" t="s">
        <v>11</v>
      </c>
      <c r="E16" s="9">
        <v>299073</v>
      </c>
      <c r="F16" s="10">
        <v>3.4300000000000004E-2</v>
      </c>
      <c r="G16" s="12">
        <v>4.000066E-2</v>
      </c>
      <c r="H16" s="4">
        <f t="shared" si="0"/>
        <v>10258.2039</v>
      </c>
      <c r="I16" s="4">
        <v>11963.11738818</v>
      </c>
    </row>
    <row r="17" spans="1:9" x14ac:dyDescent="0.3">
      <c r="A17" s="2" t="s">
        <v>38</v>
      </c>
      <c r="B17" s="2">
        <v>2020401413</v>
      </c>
      <c r="C17" s="3" t="s">
        <v>39</v>
      </c>
      <c r="D17" s="3" t="s">
        <v>11</v>
      </c>
      <c r="E17" s="9">
        <v>159561</v>
      </c>
      <c r="F17" s="10">
        <v>5.8200000000000002E-2</v>
      </c>
      <c r="G17" s="11">
        <v>6.787283999999999E-2</v>
      </c>
      <c r="H17" s="4">
        <f t="shared" si="0"/>
        <v>9286.4502000000011</v>
      </c>
      <c r="I17" s="4">
        <v>10829.858223239999</v>
      </c>
    </row>
    <row r="18" spans="1:9" x14ac:dyDescent="0.3">
      <c r="A18" s="2" t="s">
        <v>40</v>
      </c>
      <c r="B18" s="2">
        <v>2010400863</v>
      </c>
      <c r="C18" s="3" t="s">
        <v>41</v>
      </c>
      <c r="D18" s="3" t="s">
        <v>11</v>
      </c>
      <c r="E18" s="9">
        <v>712478.40000000084</v>
      </c>
      <c r="F18" s="10">
        <v>1.23E-2</v>
      </c>
      <c r="G18" s="12">
        <v>1.4344259999999999E-2</v>
      </c>
      <c r="H18" s="4">
        <f t="shared" si="0"/>
        <v>8763.4843200000105</v>
      </c>
      <c r="I18" s="4">
        <v>10219.975413984012</v>
      </c>
    </row>
    <row r="19" spans="1:9" x14ac:dyDescent="0.3">
      <c r="A19" s="2" t="s">
        <v>42</v>
      </c>
      <c r="B19" s="2">
        <v>2010400915</v>
      </c>
      <c r="C19" s="3" t="s">
        <v>43</v>
      </c>
      <c r="D19" s="3" t="s">
        <v>11</v>
      </c>
      <c r="E19" s="9">
        <v>84285.000000000116</v>
      </c>
      <c r="F19" s="10">
        <v>6.9199999999999998E-2</v>
      </c>
      <c r="G19" s="12">
        <v>8.0701039999999988E-2</v>
      </c>
      <c r="H19" s="4">
        <f t="shared" si="0"/>
        <v>5832.5220000000081</v>
      </c>
      <c r="I19" s="4">
        <v>6801.8871564000083</v>
      </c>
    </row>
    <row r="20" spans="1:9" x14ac:dyDescent="0.3">
      <c r="A20" s="2" t="s">
        <v>44</v>
      </c>
      <c r="B20" s="2">
        <v>2020401396</v>
      </c>
      <c r="C20" s="3" t="s">
        <v>45</v>
      </c>
      <c r="D20" s="3" t="s">
        <v>11</v>
      </c>
      <c r="E20" s="9">
        <v>159561</v>
      </c>
      <c r="F20" s="10">
        <v>1.9E-2</v>
      </c>
      <c r="G20" s="11">
        <v>2.2157799999999998E-2</v>
      </c>
      <c r="H20" s="4">
        <f t="shared" si="0"/>
        <v>3031.6590000000001</v>
      </c>
      <c r="I20" s="4">
        <v>3535.5207257999996</v>
      </c>
    </row>
    <row r="21" spans="1:9" x14ac:dyDescent="0.3">
      <c r="A21" s="2" t="s">
        <v>46</v>
      </c>
      <c r="B21" s="2">
        <v>2010400871</v>
      </c>
      <c r="C21" s="3" t="s">
        <v>47</v>
      </c>
      <c r="D21" s="3" t="s">
        <v>11</v>
      </c>
      <c r="E21" s="9">
        <v>17500.000000000025</v>
      </c>
      <c r="F21" s="10">
        <v>0.17119999999999999</v>
      </c>
      <c r="G21" s="11">
        <v>0.19965343999999996</v>
      </c>
      <c r="H21" s="4">
        <f t="shared" si="0"/>
        <v>2996.0000000000041</v>
      </c>
      <c r="I21" s="4">
        <v>3493.9352000000044</v>
      </c>
    </row>
    <row r="22" spans="1:9" x14ac:dyDescent="0.3">
      <c r="A22" s="2" t="s">
        <v>48</v>
      </c>
      <c r="B22" s="2">
        <v>1055400175</v>
      </c>
      <c r="C22" s="3" t="s">
        <v>49</v>
      </c>
      <c r="D22" s="3" t="s">
        <v>11</v>
      </c>
      <c r="E22" s="9">
        <v>12011.200000000003</v>
      </c>
      <c r="F22" s="10">
        <v>0.22800000000000001</v>
      </c>
      <c r="G22" s="12">
        <v>0.26589360000000001</v>
      </c>
      <c r="H22" s="4">
        <f t="shared" si="0"/>
        <v>2738.5536000000006</v>
      </c>
      <c r="I22" s="4">
        <v>3193.7012083200007</v>
      </c>
    </row>
    <row r="23" spans="1:9" x14ac:dyDescent="0.3">
      <c r="A23" s="2" t="s">
        <v>50</v>
      </c>
      <c r="B23" s="2">
        <v>3038400092</v>
      </c>
      <c r="C23" s="3" t="s">
        <v>51</v>
      </c>
      <c r="D23" s="3" t="s">
        <v>11</v>
      </c>
      <c r="E23" s="9">
        <v>46258</v>
      </c>
      <c r="F23" s="10">
        <v>3.4299999999999997E-2</v>
      </c>
      <c r="G23" s="11">
        <v>4.0000659999999993E-2</v>
      </c>
      <c r="H23" s="4">
        <f t="shared" si="0"/>
        <v>1586.6493999999998</v>
      </c>
      <c r="I23" s="4">
        <v>1850.3505302799997</v>
      </c>
    </row>
    <row r="24" spans="1:9" x14ac:dyDescent="0.3">
      <c r="A24" s="3" t="s">
        <v>52</v>
      </c>
      <c r="B24" s="3">
        <v>1055400176</v>
      </c>
      <c r="C24" s="3" t="s">
        <v>53</v>
      </c>
      <c r="D24" s="3" t="s">
        <v>11</v>
      </c>
      <c r="E24" s="9">
        <v>12011.200000000003</v>
      </c>
      <c r="F24" s="10">
        <v>7.3999999999999996E-2</v>
      </c>
      <c r="G24" s="12">
        <v>8.6298799999999995E-2</v>
      </c>
      <c r="H24" s="4">
        <f t="shared" si="0"/>
        <v>888.82880000000011</v>
      </c>
      <c r="I24" s="4">
        <v>1036.5521465600002</v>
      </c>
    </row>
    <row r="25" spans="1:9" x14ac:dyDescent="0.3">
      <c r="A25" s="3" t="s">
        <v>54</v>
      </c>
      <c r="B25" s="3">
        <v>2020401014</v>
      </c>
      <c r="C25" s="3" t="s">
        <v>55</v>
      </c>
      <c r="D25" s="3" t="s">
        <v>11</v>
      </c>
      <c r="E25" s="9">
        <v>2058.0000000000027</v>
      </c>
      <c r="F25" s="10">
        <v>8.7999999999999995E-2</v>
      </c>
      <c r="G25" s="11">
        <v>0.10262559999999998</v>
      </c>
      <c r="H25" s="4">
        <f t="shared" si="0"/>
        <v>181.10400000000024</v>
      </c>
      <c r="I25" s="4">
        <v>211.20348480000024</v>
      </c>
    </row>
    <row r="26" spans="1:9" x14ac:dyDescent="0.3">
      <c r="A26" s="3" t="s">
        <v>56</v>
      </c>
      <c r="B26" s="3">
        <v>2010400369</v>
      </c>
      <c r="C26" s="3" t="s">
        <v>57</v>
      </c>
      <c r="D26" s="3" t="s">
        <v>11</v>
      </c>
      <c r="E26" s="9">
        <v>3150.0000000000045</v>
      </c>
      <c r="F26" s="10">
        <v>4.0500000000000001E-2</v>
      </c>
      <c r="G26" s="12">
        <v>4.7231099999999998E-2</v>
      </c>
      <c r="H26" s="4">
        <f t="shared" si="0"/>
        <v>127.57500000000019</v>
      </c>
      <c r="I26" s="4">
        <v>148.77796500000022</v>
      </c>
    </row>
    <row r="27" spans="1:9" x14ac:dyDescent="0.3">
      <c r="A27" s="3" t="s">
        <v>58</v>
      </c>
      <c r="B27" s="3">
        <v>2020400481</v>
      </c>
      <c r="C27" s="3" t="s">
        <v>23</v>
      </c>
      <c r="D27" s="3" t="s">
        <v>11</v>
      </c>
      <c r="E27" s="9">
        <v>2058.0000000000027</v>
      </c>
      <c r="F27" s="10">
        <v>5.8999999999999997E-2</v>
      </c>
      <c r="G27" s="12">
        <v>6.8805799999999986E-2</v>
      </c>
      <c r="H27" s="4">
        <f t="shared" si="0"/>
        <v>121.42200000000015</v>
      </c>
      <c r="I27" s="4">
        <v>141.60233640000015</v>
      </c>
    </row>
    <row r="28" spans="1:9" x14ac:dyDescent="0.3">
      <c r="A28" s="3" t="s">
        <v>59</v>
      </c>
      <c r="B28" s="3">
        <v>2010400368</v>
      </c>
      <c r="C28" s="3" t="s">
        <v>60</v>
      </c>
      <c r="D28" s="3" t="s">
        <v>11</v>
      </c>
      <c r="E28" s="9">
        <v>4250.0000000000055</v>
      </c>
      <c r="F28" s="10">
        <v>2.1499999999999998E-2</v>
      </c>
      <c r="G28" s="12">
        <v>2.5073299999999996E-2</v>
      </c>
      <c r="H28" s="4">
        <f t="shared" si="0"/>
        <v>91.375000000000114</v>
      </c>
      <c r="I28" s="4">
        <v>106.56152500000012</v>
      </c>
    </row>
    <row r="29" spans="1:9" x14ac:dyDescent="0.3">
      <c r="A29" s="3" t="s">
        <v>61</v>
      </c>
      <c r="B29" s="3">
        <v>2010400361</v>
      </c>
      <c r="C29" s="3" t="s">
        <v>62</v>
      </c>
      <c r="D29" s="3" t="s">
        <v>11</v>
      </c>
      <c r="E29" s="9">
        <v>4250.0000000000055</v>
      </c>
      <c r="F29" s="10">
        <v>1.66E-2</v>
      </c>
      <c r="G29" s="12">
        <v>1.9358919999999998E-2</v>
      </c>
      <c r="H29" s="4">
        <f t="shared" si="0"/>
        <v>70.550000000000097</v>
      </c>
      <c r="I29" s="4">
        <v>82.275410000000093</v>
      </c>
    </row>
    <row r="30" spans="1:9" x14ac:dyDescent="0.3">
      <c r="G30" s="13" t="s">
        <v>63</v>
      </c>
      <c r="H30" s="14">
        <f>SUM(H3:H29)</f>
        <v>537461.59038448415</v>
      </c>
      <c r="I30" s="14">
        <f>SUM(I3:I29)</f>
        <v>626787.70670638513</v>
      </c>
    </row>
  </sheetData>
  <mergeCells count="9">
    <mergeCell ref="I1:I2"/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3:B2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2026-06-02T08:36:30Z</dcterms:modified>
</cp:coreProperties>
</file>