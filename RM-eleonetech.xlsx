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2A4D8E1-6D90-4BAD-9EFF-7A97C8738B0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H4" i="1"/>
  <c r="H5" i="1"/>
  <c r="H6" i="1"/>
  <c r="H7" i="1"/>
  <c r="H8" i="1"/>
  <c r="H9" i="1"/>
  <c r="H10" i="1"/>
  <c r="H11" i="1"/>
  <c r="H3" i="1"/>
</calcChain>
</file>

<file path=xl/sharedStrings.xml><?xml version="1.0" encoding="utf-8"?>
<sst xmlns="http://schemas.openxmlformats.org/spreadsheetml/2006/main" count="37" uniqueCount="27">
  <si>
    <t>CAT PN</t>
  </si>
  <si>
    <t>PN without Eng. Indices</t>
  </si>
  <si>
    <t>Description</t>
  </si>
  <si>
    <t>CAT Direct Supplier</t>
  </si>
  <si>
    <t>CY2026 Total demand (UM)</t>
  </si>
  <si>
    <t>1055300159-JC</t>
  </si>
  <si>
    <t>PCBA WV EU version</t>
  </si>
  <si>
    <t>ELEONETECH</t>
  </si>
  <si>
    <t>1055300291-BA</t>
  </si>
  <si>
    <t>VW HVPO NEMA/JAPAN PCBA</t>
  </si>
  <si>
    <t>1055300290-DA</t>
  </si>
  <si>
    <t>PCBA sub assembly VW</t>
  </si>
  <si>
    <t>7038400002-01</t>
  </si>
  <si>
    <t>PCB</t>
  </si>
  <si>
    <t>5038300211-02</t>
  </si>
  <si>
    <t>1052300784-00</t>
  </si>
  <si>
    <t>PCBA  for 2KW HVPO EWO 2021-073</t>
  </si>
  <si>
    <t>2038300229-00</t>
  </si>
  <si>
    <t>PCBA</t>
  </si>
  <si>
    <t>2038300007-01</t>
  </si>
  <si>
    <t xml:space="preserve">PCB AUDI </t>
  </si>
  <si>
    <t>2038400317-00</t>
  </si>
  <si>
    <t>Related Unit Price €</t>
  </si>
  <si>
    <t>Related Unit Price $</t>
  </si>
  <si>
    <t>Yearly Spend €</t>
  </si>
  <si>
    <t>Yearly Spend $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</si>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</sst>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_-;\-* #,##0.000_-;_-* &quot;-&quot;??_-;_-@_-"/>
    <numFmt numFmtId="167" formatCode="_-* #,##0.0000_-;\-* #,##0.0000_-;_-* &quot;-&quot;??_-;_-@_-"/>
    <numFmt numFmtId="173" formatCode="_-* #,##0\ _D_T_-;\-* #,##0\ _D_T_-;_-* &quot;-&quot;????\ _D_T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5" xfId="0" applyFill="1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0" fillId="2" borderId="5" xfId="1" applyNumberFormat="1" applyFont="1" applyFill="1" applyBorder="1" applyAlignment="1">
      <alignment horizontal="center" vertical="center"/>
    </xf>
    <xf numFmtId="43" fontId="0" fillId="2" borderId="5" xfId="1" applyNumberFormat="1" applyFont="1" applyFill="1" applyBorder="1" applyAlignment="1">
      <alignment horizontal="center" vertical="center"/>
    </xf>
    <xf numFmtId="166" fontId="0" fillId="2" borderId="5" xfId="1" applyNumberFormat="1" applyFont="1" applyFill="1" applyBorder="1" applyAlignment="1">
      <alignment horizontal="center" vertical="center"/>
    </xf>
    <xf numFmtId="167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4" fillId="3" borderId="6" xfId="0" applyFont="1" applyFill="1" applyBorder="1" applyAlignment="1">
      <alignment horizontal="center"/>
    </xf>
    <xf numFmtId="173" fontId="3" fillId="3" borderId="6" xfId="0" applyNumberFormat="1" applyFont="1" applyFill="1" applyBorder="1"/>
    <xf numFmtId="173" fontId="3" fillId="3" borderId="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16" sqref="F16"/>
    </sheetView>
  </sheetViews>
  <sheetFormatPr defaultRowHeight="14.4" x14ac:dyDescent="0.3"/>
  <cols>
    <col min="1" max="1" width="17.33203125" customWidth="1"/>
    <col min="2" max="2" width="22.44140625" style="10" customWidth="1"/>
    <col min="3" max="3" width="33.33203125" customWidth="1"/>
    <col min="4" max="4" width="19.109375" customWidth="1"/>
    <col min="5" max="5" width="18.88671875" style="11" customWidth="1"/>
    <col min="6" max="6" width="23.109375" customWidth="1"/>
    <col min="7" max="7" width="19.44140625" customWidth="1"/>
    <col min="8" max="8" width="17.6640625" customWidth="1"/>
    <col min="9" max="9" width="17.44140625" customWidth="1"/>
  </cols>
  <sheetData>
    <row r="1" spans="1:9" x14ac:dyDescent="0.3">
      <c r="A1" s="1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22</v>
      </c>
      <c r="G1" s="14" t="s">
        <v>23</v>
      </c>
      <c r="H1" s="14" t="s">
        <v>24</v>
      </c>
      <c r="I1" s="14" t="s">
        <v>25</v>
      </c>
    </row>
    <row r="2" spans="1:9" ht="18" customHeight="1" thickBot="1" x14ac:dyDescent="0.35">
      <c r="A2" s="13"/>
      <c r="B2" s="15"/>
      <c r="C2" s="15"/>
      <c r="D2" s="15"/>
      <c r="E2" s="16"/>
      <c r="F2" s="16"/>
      <c r="G2" s="16"/>
      <c r="H2" s="16"/>
      <c r="I2" s="16"/>
    </row>
    <row r="3" spans="1:9" x14ac:dyDescent="0.3">
      <c r="A3" s="1" t="s">
        <v>5</v>
      </c>
      <c r="B3" s="7">
        <v>1055300159</v>
      </c>
      <c r="C3" s="2" t="s">
        <v>6</v>
      </c>
      <c r="D3" s="2" t="s">
        <v>7</v>
      </c>
      <c r="E3" s="5">
        <v>327773.35801824345</v>
      </c>
      <c r="F3" s="19">
        <v>5.8550000000000004</v>
      </c>
      <c r="G3" s="20">
        <v>6.8281000000000001</v>
      </c>
      <c r="H3" s="5">
        <f>(F3*E3)</f>
        <v>1919113.0111968156</v>
      </c>
      <c r="I3" s="21">
        <v>2238069.5936577264</v>
      </c>
    </row>
    <row r="4" spans="1:9" x14ac:dyDescent="0.3">
      <c r="A4" s="3" t="s">
        <v>8</v>
      </c>
      <c r="B4" s="8">
        <v>1055300291</v>
      </c>
      <c r="C4" s="4" t="s">
        <v>9</v>
      </c>
      <c r="D4" s="4" t="s">
        <v>7</v>
      </c>
      <c r="E4" s="6">
        <v>81215.060111892031</v>
      </c>
      <c r="F4" s="20">
        <v>5.8535000000000004</v>
      </c>
      <c r="G4" s="20">
        <v>6.8262999999999998</v>
      </c>
      <c r="H4" s="5">
        <f t="shared" ref="H4:H11" si="0">(F4*E4)</f>
        <v>475392.35436496005</v>
      </c>
      <c r="I4" s="21">
        <v>554401.61653038533</v>
      </c>
    </row>
    <row r="5" spans="1:9" x14ac:dyDescent="0.3">
      <c r="A5" s="3" t="s">
        <v>10</v>
      </c>
      <c r="B5" s="8">
        <v>1055300290</v>
      </c>
      <c r="C5" s="4" t="s">
        <v>11</v>
      </c>
      <c r="D5" s="4" t="s">
        <v>7</v>
      </c>
      <c r="E5" s="6">
        <v>55677.837964696373</v>
      </c>
      <c r="F5" s="18">
        <v>6.83</v>
      </c>
      <c r="G5" s="20">
        <v>7.9650999999999996</v>
      </c>
      <c r="H5" s="5">
        <f t="shared" si="0"/>
        <v>380279.63329887623</v>
      </c>
      <c r="I5" s="21">
        <v>443482.10835314944</v>
      </c>
    </row>
    <row r="6" spans="1:9" x14ac:dyDescent="0.3">
      <c r="A6" s="3" t="s">
        <v>12</v>
      </c>
      <c r="B6" s="8">
        <v>7038400002</v>
      </c>
      <c r="C6" s="4" t="s">
        <v>13</v>
      </c>
      <c r="D6" s="4" t="s">
        <v>7</v>
      </c>
      <c r="E6" s="6">
        <v>1216960.0000000002</v>
      </c>
      <c r="F6" s="17">
        <v>0.3</v>
      </c>
      <c r="G6" s="17">
        <v>0.3</v>
      </c>
      <c r="H6" s="5">
        <f t="shared" si="0"/>
        <v>365088.00000000006</v>
      </c>
      <c r="I6" s="21">
        <v>365088.00000000006</v>
      </c>
    </row>
    <row r="7" spans="1:9" x14ac:dyDescent="0.3">
      <c r="A7" s="3" t="s">
        <v>14</v>
      </c>
      <c r="B7" s="8">
        <v>5038300211</v>
      </c>
      <c r="C7" s="4" t="s">
        <v>13</v>
      </c>
      <c r="D7" s="4" t="s">
        <v>7</v>
      </c>
      <c r="E7" s="6">
        <v>299073</v>
      </c>
      <c r="F7" s="20">
        <v>0.255</v>
      </c>
      <c r="G7" s="20">
        <v>0.2974</v>
      </c>
      <c r="H7" s="5">
        <f t="shared" si="0"/>
        <v>76263.615000000005</v>
      </c>
      <c r="I7" s="21">
        <v>88938.627812999999</v>
      </c>
    </row>
    <row r="8" spans="1:9" x14ac:dyDescent="0.3">
      <c r="A8" s="3" t="s">
        <v>15</v>
      </c>
      <c r="B8" s="8">
        <v>1052300784</v>
      </c>
      <c r="C8" s="4" t="s">
        <v>16</v>
      </c>
      <c r="D8" s="3" t="s">
        <v>7</v>
      </c>
      <c r="E8" s="6">
        <v>12011.200000000003</v>
      </c>
      <c r="F8" s="20">
        <v>3.9070999999999998</v>
      </c>
      <c r="G8" s="20">
        <v>4.5564</v>
      </c>
      <c r="H8" s="5">
        <f t="shared" si="0"/>
        <v>46928.959520000004</v>
      </c>
      <c r="I8" s="21">
        <v>54727.852219152017</v>
      </c>
    </row>
    <row r="9" spans="1:9" x14ac:dyDescent="0.3">
      <c r="A9" s="4" t="s">
        <v>17</v>
      </c>
      <c r="B9" s="9">
        <v>2038300229</v>
      </c>
      <c r="C9" s="4" t="s">
        <v>18</v>
      </c>
      <c r="D9" s="4" t="s">
        <v>7</v>
      </c>
      <c r="E9" s="6">
        <v>10000.000000000015</v>
      </c>
      <c r="F9" s="20">
        <v>3.3849999999999998</v>
      </c>
      <c r="G9" s="20">
        <v>3.9476</v>
      </c>
      <c r="H9" s="5">
        <f t="shared" si="0"/>
        <v>33850.000000000044</v>
      </c>
      <c r="I9" s="21">
        <v>39475.870000000054</v>
      </c>
    </row>
    <row r="10" spans="1:9" x14ac:dyDescent="0.3">
      <c r="A10" s="3" t="s">
        <v>19</v>
      </c>
      <c r="B10" s="8">
        <v>2038300007</v>
      </c>
      <c r="C10" s="4" t="s">
        <v>20</v>
      </c>
      <c r="D10" s="4" t="s">
        <v>7</v>
      </c>
      <c r="E10" s="6">
        <v>46096.000000000065</v>
      </c>
      <c r="F10" s="20">
        <v>0.34200000000000003</v>
      </c>
      <c r="G10" s="20">
        <v>0.39879999999999999</v>
      </c>
      <c r="H10" s="5">
        <f t="shared" si="0"/>
        <v>15764.832000000024</v>
      </c>
      <c r="I10" s="21">
        <v>18384.947078400026</v>
      </c>
    </row>
    <row r="11" spans="1:9" x14ac:dyDescent="0.3">
      <c r="A11" s="4" t="s">
        <v>21</v>
      </c>
      <c r="B11" s="9">
        <v>2038400317</v>
      </c>
      <c r="C11" s="4" t="s">
        <v>13</v>
      </c>
      <c r="D11" s="4" t="s">
        <v>7</v>
      </c>
      <c r="E11" s="6">
        <v>3649.0000000000045</v>
      </c>
      <c r="F11" s="19">
        <v>3.258</v>
      </c>
      <c r="G11" s="19">
        <v>3.831</v>
      </c>
      <c r="H11" s="5">
        <f t="shared" si="0"/>
        <v>11888.442000000015</v>
      </c>
      <c r="I11" s="21">
        <v>13979.198583000016</v>
      </c>
    </row>
    <row r="12" spans="1:9" x14ac:dyDescent="0.3">
      <c r="G12" s="22" t="s">
        <v>26</v>
      </c>
      <c r="H12" s="23">
        <f>(H3+H4+H5+H6+H7+H8+H9+H10+H11)</f>
        <v>3324568.8473806521</v>
      </c>
      <c r="I12" s="24">
        <f>(I3+I5+I4+I6+I7+I8+I9+I10+I11)</f>
        <v>3816547.8142348132</v>
      </c>
    </row>
  </sheetData>
  <mergeCells count="9">
    <mergeCell ref="H1:H2"/>
    <mergeCell ref="I1:I2"/>
    <mergeCell ref="F1:F2"/>
    <mergeCell ref="G1:G2"/>
    <mergeCell ref="A1:A2"/>
    <mergeCell ref="B1:B2"/>
    <mergeCell ref="C1:C2"/>
    <mergeCell ref="D1:D2"/>
    <mergeCell ref="E1:E2"/>
  </mergeCells>
  <conditionalFormatting sqref="B1:B12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68967f-6bb6-4044-bc29-b1f22b34035d" xsi:nil="true"/>
    <lcf76f155ced4ddcb4097134ff3c332f xmlns="8d7e6292-22cc-4ae3-aed2-835918d47b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902199380A54BADA18CE69E65E143" ma:contentTypeVersion="13" ma:contentTypeDescription="Create a new document." ma:contentTypeScope="" ma:versionID="2f53a119965d50b71dddc95e1eda14a6">
  <xsd:schema xmlns:xsd="http://www.w3.org/2001/XMLSchema" xmlns:xs="http://www.w3.org/2001/XMLSchema" xmlns:p="http://schemas.microsoft.com/office/2006/metadata/properties" xmlns:ns2="8d7e6292-22cc-4ae3-aed2-835918d47b31" xmlns:ns3="9e68967f-6bb6-4044-bc29-b1f22b34035d" targetNamespace="http://schemas.microsoft.com/office/2006/metadata/properties" ma:root="true" ma:fieldsID="3ca83a7d74585ce13af2d856fbd66503" ns2:_="" ns3:_="">
    <xsd:import namespace="8d7e6292-22cc-4ae3-aed2-835918d47b31"/>
    <xsd:import namespace="9e68967f-6bb6-4044-bc29-b1f22b340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e6292-22cc-4ae3-aed2-835918d47b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e1c1eeb-0704-449b-a231-0b6695b43e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8967f-6bb6-4044-bc29-b1f22b34035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5f7307-48a7-40cd-ba3b-8f99ace3b971}" ma:internalName="TaxCatchAll" ma:showField="CatchAllData" ma:web="9e68967f-6bb6-4044-bc29-b1f22b3403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7B970C-ABE7-4BB0-A0AF-8C7EEAA6D750}">
  <ds:schemaRefs>
    <ds:schemaRef ds:uri="http://schemas.microsoft.com/office/2006/metadata/properties"/>
    <ds:schemaRef ds:uri="http://schemas.microsoft.com/office/infopath/2007/PartnerControls"/>
    <ds:schemaRef ds:uri="9e68967f-6bb6-4044-bc29-b1f22b34035d"/>
    <ds:schemaRef ds:uri="8d7e6292-22cc-4ae3-aed2-835918d47b31"/>
  </ds:schemaRefs>
</ds:datastoreItem>
</file>

<file path=customXml/itemProps2.xml><?xml version="1.0" encoding="utf-8"?>
<ds:datastoreItem xmlns:ds="http://schemas.openxmlformats.org/officeDocument/2006/customXml" ds:itemID="{DA2D06CF-1292-4957-98DE-1D76BBF80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7e6292-22cc-4ae3-aed2-835918d47b31"/>
    <ds:schemaRef ds:uri="9e68967f-6bb6-4044-bc29-b1f22b340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969494-5931-44F6-AA56-497BC9CB97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b95bb-6758-456a-9ff4-1e70b2845cd3}" enabled="0" method="" siteId="{4e1b95bb-6758-456a-9ff4-1e70b2845c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Wissem Hkiri</dc:creator>
  <cp:keywords/>
  <dc:description/>
  <cp:lastModifiedBy>Wissem Hkiri</cp:lastModifiedBy>
  <cp:revision/>
  <dcterms:created xsi:type="dcterms:W3CDTF">2015-06-05T18:17:20Z</dcterms:created>
  <dcterms:modified xsi:type="dcterms:W3CDTF">2026-05-18T15:50:39Z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0x010100093902199380A54BADA18CE69E65E143</vt:lpwstr>
  </property>
  <property fmtid="{D5CDD505-2E9C-101B-9397-08002B2CF9AE}" pid="3" name="MediaServiceImageTags">
    <vt:lpwstr/>
  </property>
</Properties>
</file>